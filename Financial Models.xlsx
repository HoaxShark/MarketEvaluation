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rketEvaluation\"/>
    </mc:Choice>
  </mc:AlternateContent>
  <bookViews>
    <workbookView xWindow="0" yWindow="0" windowWidth="28800" windowHeight="12300"/>
  </bookViews>
  <sheets>
    <sheet name="Publisher Max Sales" sheetId="1" r:id="rId1"/>
    <sheet name="Publisher Min Sales" sheetId="2" r:id="rId2"/>
    <sheet name="Self-Publishing" sheetId="3" r:id="rId3"/>
    <sheet name="Self-Publishing Sales" sheetId="4" r:id="rId4"/>
    <sheet name="Publishing Sales" sheetId="5" r:id="rId5"/>
    <sheet name="Self-Publishing Dev" sheetId="6" r:id="rId6"/>
    <sheet name="Publishing Dev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4" i="1" l="1"/>
  <c r="T26" i="1" s="1"/>
  <c r="U24" i="1"/>
  <c r="U26" i="1" s="1"/>
  <c r="T7" i="1"/>
  <c r="U7" i="1"/>
  <c r="K7" i="2"/>
  <c r="L7" i="2"/>
  <c r="K24" i="2"/>
  <c r="L24" i="2"/>
  <c r="L26" i="2" s="1"/>
  <c r="H22" i="5"/>
  <c r="C45" i="5"/>
  <c r="D45" i="5"/>
  <c r="E45" i="5"/>
  <c r="F45" i="5"/>
  <c r="F47" i="5" s="1"/>
  <c r="B45" i="5"/>
  <c r="B47" i="5" s="1"/>
  <c r="C47" i="5"/>
  <c r="D47" i="5"/>
  <c r="E47" i="5"/>
  <c r="B16" i="5"/>
  <c r="C43" i="5"/>
  <c r="D43" i="5"/>
  <c r="E43" i="5"/>
  <c r="F43" i="5"/>
  <c r="B43" i="5"/>
  <c r="M8" i="5"/>
  <c r="M12" i="5" s="1"/>
  <c r="M14" i="5" s="1"/>
  <c r="L8" i="5"/>
  <c r="L12" i="5" s="1"/>
  <c r="L14" i="5" s="1"/>
  <c r="L16" i="5" s="1"/>
  <c r="K8" i="5"/>
  <c r="K12" i="5" s="1"/>
  <c r="K14" i="5" s="1"/>
  <c r="K16" i="5" s="1"/>
  <c r="J8" i="5"/>
  <c r="I8" i="5"/>
  <c r="C14" i="5"/>
  <c r="D14" i="5"/>
  <c r="E14" i="5"/>
  <c r="F14" i="5"/>
  <c r="B14" i="5"/>
  <c r="C12" i="5"/>
  <c r="D12" i="5"/>
  <c r="E12" i="5"/>
  <c r="F12" i="5"/>
  <c r="B12" i="5"/>
  <c r="C39" i="5"/>
  <c r="D39" i="5"/>
  <c r="E39" i="5"/>
  <c r="F39" i="5"/>
  <c r="B39" i="5"/>
  <c r="F37" i="5"/>
  <c r="E37" i="5"/>
  <c r="D37" i="5"/>
  <c r="C37" i="5"/>
  <c r="B37" i="5"/>
  <c r="F32" i="5"/>
  <c r="E32" i="5"/>
  <c r="D32" i="5"/>
  <c r="C32" i="5"/>
  <c r="B32" i="5"/>
  <c r="F27" i="5"/>
  <c r="E27" i="5"/>
  <c r="D27" i="5"/>
  <c r="C27" i="5"/>
  <c r="B27" i="5"/>
  <c r="M6" i="5"/>
  <c r="L6" i="5"/>
  <c r="K6" i="5"/>
  <c r="J6" i="5"/>
  <c r="I6" i="5"/>
  <c r="F6" i="5"/>
  <c r="F8" i="5" s="1"/>
  <c r="E6" i="5"/>
  <c r="E8" i="5" s="1"/>
  <c r="D6" i="5"/>
  <c r="D8" i="5" s="1"/>
  <c r="C6" i="5"/>
  <c r="C8" i="5" s="1"/>
  <c r="B6" i="5"/>
  <c r="B8" i="5" s="1"/>
  <c r="K26" i="2" l="1"/>
  <c r="M16" i="5"/>
  <c r="I12" i="5"/>
  <c r="I14" i="5" s="1"/>
  <c r="I16" i="5" s="1"/>
  <c r="I18" i="5" s="1"/>
  <c r="J12" i="5"/>
  <c r="J14" i="5" s="1"/>
  <c r="J16" i="5" s="1"/>
  <c r="E16" i="5"/>
  <c r="F16" i="5"/>
  <c r="B49" i="5"/>
  <c r="C16" i="5"/>
  <c r="D16" i="5"/>
  <c r="D17" i="4"/>
  <c r="E17" i="4" s="1"/>
  <c r="F17" i="4" s="1"/>
  <c r="C17" i="4"/>
  <c r="B17" i="4"/>
  <c r="C15" i="4"/>
  <c r="D15" i="4"/>
  <c r="E15" i="4"/>
  <c r="F15" i="4"/>
  <c r="B15" i="4"/>
  <c r="C13" i="4"/>
  <c r="D13" i="4"/>
  <c r="E13" i="4"/>
  <c r="F13" i="4"/>
  <c r="B13" i="4"/>
  <c r="C11" i="4"/>
  <c r="D11" i="4"/>
  <c r="B11" i="4"/>
  <c r="C8" i="4"/>
  <c r="D8" i="4"/>
  <c r="E8" i="4"/>
  <c r="F8" i="4"/>
  <c r="B8" i="4"/>
  <c r="C6" i="4"/>
  <c r="D6" i="4"/>
  <c r="E6" i="4"/>
  <c r="F6" i="4"/>
  <c r="B6" i="4"/>
  <c r="I17" i="3"/>
  <c r="I10" i="3" s="1"/>
  <c r="J17" i="3"/>
  <c r="J10" i="3" s="1"/>
  <c r="J9" i="3"/>
  <c r="K9" i="3"/>
  <c r="L9" i="3"/>
  <c r="K10" i="3"/>
  <c r="K19" i="3" s="1"/>
  <c r="K21" i="3" s="1"/>
  <c r="L10" i="3"/>
  <c r="L19" i="3" s="1"/>
  <c r="L21" i="3" s="1"/>
  <c r="J11" i="3"/>
  <c r="K11" i="3"/>
  <c r="L11" i="3"/>
  <c r="K12" i="3"/>
  <c r="L12" i="3"/>
  <c r="I13" i="3"/>
  <c r="J13" i="3"/>
  <c r="K13" i="3"/>
  <c r="L13" i="3"/>
  <c r="K14" i="3"/>
  <c r="L14" i="3"/>
  <c r="I15" i="3"/>
  <c r="J15" i="3"/>
  <c r="K15" i="3"/>
  <c r="L15" i="3"/>
  <c r="H10" i="3"/>
  <c r="H11" i="3"/>
  <c r="H12" i="3"/>
  <c r="H13" i="3"/>
  <c r="H14" i="3"/>
  <c r="H15" i="3"/>
  <c r="H9" i="3"/>
  <c r="H17" i="3"/>
  <c r="K5" i="3"/>
  <c r="L5" i="3"/>
  <c r="J18" i="5" l="1"/>
  <c r="K18" i="5" s="1"/>
  <c r="L18" i="5" s="1"/>
  <c r="M18" i="5" s="1"/>
  <c r="C49" i="5"/>
  <c r="D49" i="5" s="1"/>
  <c r="E49" i="5" s="1"/>
  <c r="F49" i="5" s="1"/>
  <c r="J14" i="3"/>
  <c r="J12" i="3"/>
  <c r="I11" i="3"/>
  <c r="I9" i="3"/>
  <c r="I12" i="3"/>
  <c r="I14" i="3"/>
  <c r="G19" i="3" l="1"/>
  <c r="F19" i="3"/>
  <c r="E19" i="3"/>
  <c r="D19" i="3"/>
  <c r="C19" i="3"/>
  <c r="B19" i="3"/>
  <c r="J5" i="3"/>
  <c r="I5" i="3"/>
  <c r="H5" i="3"/>
  <c r="G5" i="3"/>
  <c r="F5" i="3"/>
  <c r="F21" i="3" s="1"/>
  <c r="E5" i="3"/>
  <c r="D5" i="3"/>
  <c r="C5" i="3"/>
  <c r="B5" i="3"/>
  <c r="J24" i="2"/>
  <c r="I24" i="2"/>
  <c r="H24" i="2"/>
  <c r="G24" i="2"/>
  <c r="F24" i="2"/>
  <c r="E24" i="2"/>
  <c r="D24" i="2"/>
  <c r="C24" i="2"/>
  <c r="C26" i="2" s="1"/>
  <c r="B24" i="2"/>
  <c r="B26" i="2" s="1"/>
  <c r="B28" i="2" s="1"/>
  <c r="J7" i="2"/>
  <c r="I7" i="2"/>
  <c r="H7" i="2"/>
  <c r="G7" i="2"/>
  <c r="F7" i="2"/>
  <c r="E7" i="2"/>
  <c r="D7" i="2"/>
  <c r="C7" i="2"/>
  <c r="B7" i="2"/>
  <c r="Q24" i="1"/>
  <c r="R24" i="1"/>
  <c r="S24" i="1"/>
  <c r="Q7" i="1"/>
  <c r="R7" i="1"/>
  <c r="S7" i="1"/>
  <c r="N24" i="1"/>
  <c r="N26" i="1" s="1"/>
  <c r="O24" i="1"/>
  <c r="P24" i="1"/>
  <c r="N7" i="1"/>
  <c r="O7" i="1"/>
  <c r="P7" i="1"/>
  <c r="S26" i="1" l="1"/>
  <c r="D26" i="2"/>
  <c r="E26" i="2"/>
  <c r="F26" i="2"/>
  <c r="G26" i="2"/>
  <c r="Q26" i="1"/>
  <c r="J26" i="2"/>
  <c r="I26" i="2"/>
  <c r="R26" i="1"/>
  <c r="G21" i="3"/>
  <c r="B21" i="3"/>
  <c r="B23" i="3" s="1"/>
  <c r="D21" i="3"/>
  <c r="C21" i="3"/>
  <c r="E21" i="3"/>
  <c r="H26" i="2"/>
  <c r="C28" i="2"/>
  <c r="D28" i="2" s="1"/>
  <c r="P26" i="1"/>
  <c r="O26" i="1"/>
  <c r="E28" i="2" l="1"/>
  <c r="F28" i="2" s="1"/>
  <c r="G28" i="2" s="1"/>
  <c r="H28" i="2" s="1"/>
  <c r="I28" i="2" s="1"/>
  <c r="J28" i="2" s="1"/>
  <c r="K28" i="2" s="1"/>
  <c r="L28" i="2" s="1"/>
  <c r="I19" i="3"/>
  <c r="I21" i="3" s="1"/>
  <c r="J19" i="3"/>
  <c r="J21" i="3" s="1"/>
  <c r="C23" i="3"/>
  <c r="D23" i="3"/>
  <c r="E23" i="3" s="1"/>
  <c r="F23" i="3" s="1"/>
  <c r="G23" i="3" s="1"/>
  <c r="M24" i="1" l="1"/>
  <c r="C24" i="1"/>
  <c r="D24" i="1"/>
  <c r="E24" i="1"/>
  <c r="E26" i="1" s="1"/>
  <c r="F24" i="1"/>
  <c r="G24" i="1"/>
  <c r="H24" i="1"/>
  <c r="I24" i="1"/>
  <c r="J24" i="1"/>
  <c r="K24" i="1"/>
  <c r="L24" i="1"/>
  <c r="B24" i="1"/>
  <c r="B26" i="1" s="1"/>
  <c r="K7" i="1"/>
  <c r="L7" i="1"/>
  <c r="M7" i="1"/>
  <c r="C7" i="1"/>
  <c r="D7" i="1"/>
  <c r="E7" i="1"/>
  <c r="F7" i="1"/>
  <c r="G7" i="1"/>
  <c r="H7" i="1"/>
  <c r="I7" i="1"/>
  <c r="J7" i="1"/>
  <c r="B7" i="1"/>
  <c r="C26" i="1" l="1"/>
  <c r="G26" i="1"/>
  <c r="B28" i="1"/>
  <c r="I26" i="1"/>
  <c r="H26" i="1"/>
  <c r="F26" i="1"/>
  <c r="L26" i="1"/>
  <c r="K26" i="1"/>
  <c r="D26" i="1"/>
  <c r="J26" i="1"/>
  <c r="M26" i="1"/>
  <c r="C28" i="1" l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H19" i="3"/>
  <c r="H21" i="3" s="1"/>
  <c r="H23" i="3" s="1"/>
  <c r="I23" i="3" s="1"/>
  <c r="J23" i="3" s="1"/>
  <c r="K23" i="3" s="1"/>
  <c r="L23" i="3" s="1"/>
  <c r="B18" i="5"/>
  <c r="C18" i="5" s="1"/>
  <c r="D18" i="5" s="1"/>
  <c r="E18" i="5" s="1"/>
  <c r="F18" i="5" s="1"/>
</calcChain>
</file>

<file path=xl/sharedStrings.xml><?xml version="1.0" encoding="utf-8"?>
<sst xmlns="http://schemas.openxmlformats.org/spreadsheetml/2006/main" count="191" uniqueCount="73">
  <si>
    <t>Revenues</t>
  </si>
  <si>
    <t>Dev Investment</t>
  </si>
  <si>
    <t>Marketing Investment</t>
  </si>
  <si>
    <t>Month-1</t>
  </si>
  <si>
    <t>Month-2</t>
  </si>
  <si>
    <t>Month-3</t>
  </si>
  <si>
    <t>Month-4</t>
  </si>
  <si>
    <t>Month-5</t>
  </si>
  <si>
    <t>Month-6</t>
  </si>
  <si>
    <t>Month-7</t>
  </si>
  <si>
    <t>Month-8</t>
  </si>
  <si>
    <t>Month-9</t>
  </si>
  <si>
    <t>Month-10</t>
  </si>
  <si>
    <t>Month-11</t>
  </si>
  <si>
    <t>Month-12</t>
  </si>
  <si>
    <t>Outgoings</t>
  </si>
  <si>
    <t>Sales Net</t>
  </si>
  <si>
    <t>Programmer 1</t>
  </si>
  <si>
    <t>Programmer 2</t>
  </si>
  <si>
    <t>Designer 1</t>
  </si>
  <si>
    <t>Artist 1</t>
  </si>
  <si>
    <t>Animator 1</t>
  </si>
  <si>
    <t>Artist 2</t>
  </si>
  <si>
    <t>Artist 3</t>
  </si>
  <si>
    <t>Total</t>
  </si>
  <si>
    <t>Investment Recoup</t>
  </si>
  <si>
    <t>Revenue Split</t>
  </si>
  <si>
    <t>Period Profit</t>
  </si>
  <si>
    <t>Retained</t>
  </si>
  <si>
    <t>Marketing</t>
  </si>
  <si>
    <t>Month-13</t>
  </si>
  <si>
    <t>Month-14</t>
  </si>
  <si>
    <t>Month-15</t>
  </si>
  <si>
    <t>Office Space</t>
  </si>
  <si>
    <t>Month-16</t>
  </si>
  <si>
    <t>Month-17</t>
  </si>
  <si>
    <t>Month-18</t>
  </si>
  <si>
    <t>Prototyping new IP</t>
  </si>
  <si>
    <t>Finishing dev</t>
  </si>
  <si>
    <t>Console ports</t>
  </si>
  <si>
    <t>Net sales</t>
  </si>
  <si>
    <t>Net Sales</t>
  </si>
  <si>
    <t>Prototyping new IP?</t>
  </si>
  <si>
    <t>Month 1</t>
  </si>
  <si>
    <t>Income</t>
  </si>
  <si>
    <t>Itch.io</t>
  </si>
  <si>
    <t>units</t>
  </si>
  <si>
    <t>NET</t>
  </si>
  <si>
    <t>Rev.(£)</t>
  </si>
  <si>
    <t>Total Income</t>
  </si>
  <si>
    <t>Outgoing</t>
  </si>
  <si>
    <t>Advertising</t>
  </si>
  <si>
    <t>Total Outgoing</t>
  </si>
  <si>
    <t>Monthly Profit</t>
  </si>
  <si>
    <t>Profit B/F (£)</t>
  </si>
  <si>
    <t>Month 2</t>
  </si>
  <si>
    <t>Month 3</t>
  </si>
  <si>
    <t>Month 4</t>
  </si>
  <si>
    <t>Month 5</t>
  </si>
  <si>
    <t>Month 6</t>
  </si>
  <si>
    <t>Development</t>
  </si>
  <si>
    <t>Testing</t>
  </si>
  <si>
    <t>Beta Testing</t>
  </si>
  <si>
    <t>Bug Fixing</t>
  </si>
  <si>
    <t>Sign Off</t>
  </si>
  <si>
    <t>Steam</t>
  </si>
  <si>
    <t>Revenue Share</t>
  </si>
  <si>
    <t>Playstation</t>
  </si>
  <si>
    <t>Xbox</t>
  </si>
  <si>
    <t>Inestment Repay</t>
  </si>
  <si>
    <t>Investment Repay</t>
  </si>
  <si>
    <t>Month-19</t>
  </si>
  <si>
    <t>Month-20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</si>
</sst>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2" fontId="0" fillId="0" borderId="0" xfId="0" applyNumberFormat="1"/>
    <xf numFmtId="0" fontId="1" fillId="4" borderId="0" xfId="0" applyFont="1" applyFill="1"/>
    <xf numFmtId="0" fontId="0" fillId="4" borderId="0" xfId="0" applyFill="1"/>
    <xf numFmtId="0" fontId="1" fillId="3" borderId="0" xfId="0" applyFont="1" applyFill="1"/>
    <xf numFmtId="0" fontId="0" fillId="0" borderId="1" xfId="0" applyBorder="1"/>
    <xf numFmtId="0" fontId="1" fillId="0" borderId="1" xfId="0" applyFont="1" applyBorder="1"/>
    <xf numFmtId="0" fontId="0" fillId="5" borderId="1" xfId="0" applyFill="1" applyBorder="1"/>
    <xf numFmtId="0" fontId="0" fillId="6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 applyFill="1"/>
    <xf numFmtId="0" fontId="0" fillId="0" borderId="0" xfId="0" applyFo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tabSelected="1" workbookViewId="0">
      <pane xSplit="1" topLeftCell="K1" activePane="topRight" state="frozen"/>
      <selection pane="topRight" activeCell="O15" sqref="O15"/>
    </sheetView>
  </sheetViews>
  <sheetFormatPr defaultRowHeight="15" x14ac:dyDescent="0.25"/>
  <cols>
    <col min="1" max="1" width="21.140625" customWidth="1"/>
    <col min="2" max="2" width="11.42578125" customWidth="1"/>
  </cols>
  <sheetData>
    <row r="1" spans="1:21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30</v>
      </c>
      <c r="O1" t="s">
        <v>31</v>
      </c>
      <c r="P1" t="s">
        <v>32</v>
      </c>
      <c r="Q1" t="s">
        <v>34</v>
      </c>
      <c r="R1" t="s">
        <v>35</v>
      </c>
      <c r="S1" t="s">
        <v>36</v>
      </c>
      <c r="T1" t="s">
        <v>71</v>
      </c>
      <c r="U1" t="s">
        <v>72</v>
      </c>
    </row>
    <row r="2" spans="1:21" x14ac:dyDescent="0.25">
      <c r="A2" s="1" t="s">
        <v>0</v>
      </c>
    </row>
    <row r="3" spans="1:21" x14ac:dyDescent="0.25">
      <c r="A3" t="s">
        <v>1</v>
      </c>
      <c r="B3">
        <v>100000</v>
      </c>
      <c r="K3">
        <v>50000</v>
      </c>
    </row>
    <row r="4" spans="1:21" x14ac:dyDescent="0.25">
      <c r="A4" t="s">
        <v>2</v>
      </c>
      <c r="B4">
        <v>50000</v>
      </c>
      <c r="P4">
        <v>150000</v>
      </c>
    </row>
    <row r="5" spans="1:21" x14ac:dyDescent="0.25">
      <c r="A5" t="s">
        <v>40</v>
      </c>
      <c r="H5">
        <v>37500</v>
      </c>
      <c r="I5">
        <v>75000</v>
      </c>
      <c r="J5">
        <v>150000</v>
      </c>
      <c r="K5">
        <v>75000</v>
      </c>
      <c r="L5">
        <v>37500</v>
      </c>
      <c r="Q5">
        <v>37500</v>
      </c>
      <c r="R5">
        <v>67500</v>
      </c>
      <c r="S5">
        <v>90000</v>
      </c>
      <c r="T5">
        <v>67500</v>
      </c>
      <c r="U5">
        <v>37500</v>
      </c>
    </row>
    <row r="7" spans="1:21" x14ac:dyDescent="0.25">
      <c r="A7" s="1" t="s">
        <v>24</v>
      </c>
      <c r="B7">
        <f>SUM(B3:B5)</f>
        <v>150000</v>
      </c>
      <c r="C7">
        <f t="shared" ref="C7:U7" si="0">SUM(C3:C5)</f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>SUM(H3:H5)</f>
        <v>37500</v>
      </c>
      <c r="I7">
        <f>SUM(I3:I5)</f>
        <v>75000</v>
      </c>
      <c r="J7">
        <f>SUM(J3:J5)</f>
        <v>150000</v>
      </c>
      <c r="K7">
        <f>SUM(K3:K5)</f>
        <v>125000</v>
      </c>
      <c r="L7">
        <f t="shared" si="0"/>
        <v>37500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150000</v>
      </c>
      <c r="Q7">
        <f t="shared" si="0"/>
        <v>37500</v>
      </c>
      <c r="R7">
        <f t="shared" si="0"/>
        <v>67500</v>
      </c>
      <c r="S7">
        <f t="shared" si="0"/>
        <v>90000</v>
      </c>
      <c r="T7">
        <f t="shared" si="0"/>
        <v>67500</v>
      </c>
      <c r="U7">
        <f t="shared" si="0"/>
        <v>37500</v>
      </c>
    </row>
    <row r="9" spans="1:21" x14ac:dyDescent="0.25">
      <c r="A9" s="1" t="s">
        <v>15</v>
      </c>
    </row>
    <row r="10" spans="1:21" x14ac:dyDescent="0.25">
      <c r="A10" t="s">
        <v>33</v>
      </c>
      <c r="B10">
        <v>1200</v>
      </c>
      <c r="C10">
        <v>1200</v>
      </c>
      <c r="D10">
        <v>1200</v>
      </c>
      <c r="E10">
        <v>1200</v>
      </c>
      <c r="F10">
        <v>1200</v>
      </c>
      <c r="G10">
        <v>1200</v>
      </c>
      <c r="H10">
        <v>1200</v>
      </c>
      <c r="I10">
        <v>1200</v>
      </c>
      <c r="J10">
        <v>1200</v>
      </c>
      <c r="K10">
        <v>1200</v>
      </c>
      <c r="L10">
        <v>1200</v>
      </c>
      <c r="M10">
        <v>1200</v>
      </c>
      <c r="N10">
        <v>1200</v>
      </c>
      <c r="O10">
        <v>1200</v>
      </c>
      <c r="P10">
        <v>1200</v>
      </c>
    </row>
    <row r="11" spans="1:21" x14ac:dyDescent="0.25">
      <c r="B11" s="4" t="s">
        <v>38</v>
      </c>
      <c r="C11" s="4"/>
      <c r="D11" s="4"/>
      <c r="E11" s="4"/>
      <c r="F11" s="4"/>
      <c r="G11" s="4"/>
      <c r="H11" s="3" t="s">
        <v>37</v>
      </c>
      <c r="I11" s="3"/>
      <c r="J11" s="3"/>
      <c r="K11" s="4" t="s">
        <v>39</v>
      </c>
      <c r="L11" s="4"/>
      <c r="M11" s="4"/>
      <c r="N11" s="4"/>
      <c r="O11" s="4"/>
      <c r="P11" s="4"/>
    </row>
    <row r="12" spans="1:21" x14ac:dyDescent="0.25">
      <c r="A12" t="s">
        <v>17</v>
      </c>
      <c r="B12">
        <v>2000</v>
      </c>
      <c r="C12">
        <v>2000</v>
      </c>
      <c r="D12">
        <v>2000</v>
      </c>
      <c r="E12">
        <v>2000</v>
      </c>
      <c r="F12">
        <v>2000</v>
      </c>
      <c r="G12">
        <v>2000</v>
      </c>
      <c r="H12">
        <v>2000</v>
      </c>
      <c r="I12">
        <v>2000</v>
      </c>
      <c r="J12">
        <v>2000</v>
      </c>
      <c r="K12">
        <v>2000</v>
      </c>
      <c r="L12">
        <v>2000</v>
      </c>
      <c r="M12">
        <v>2000</v>
      </c>
      <c r="N12">
        <v>2000</v>
      </c>
      <c r="O12">
        <v>2000</v>
      </c>
      <c r="P12">
        <v>2000</v>
      </c>
    </row>
    <row r="13" spans="1:21" x14ac:dyDescent="0.25">
      <c r="A13" t="s">
        <v>18</v>
      </c>
      <c r="B13">
        <v>2000</v>
      </c>
      <c r="C13">
        <v>2000</v>
      </c>
      <c r="D13">
        <v>2000</v>
      </c>
      <c r="E13">
        <v>2000</v>
      </c>
      <c r="F13">
        <v>2000</v>
      </c>
      <c r="G13">
        <v>2000</v>
      </c>
      <c r="H13">
        <v>2000</v>
      </c>
      <c r="I13">
        <v>2000</v>
      </c>
      <c r="J13">
        <v>2000</v>
      </c>
      <c r="K13">
        <v>2000</v>
      </c>
      <c r="L13">
        <v>2000</v>
      </c>
      <c r="M13">
        <v>2000</v>
      </c>
      <c r="N13">
        <v>2000</v>
      </c>
      <c r="O13">
        <v>2000</v>
      </c>
      <c r="P13">
        <v>2000</v>
      </c>
    </row>
    <row r="14" spans="1:21" x14ac:dyDescent="0.25">
      <c r="A14" t="s">
        <v>19</v>
      </c>
      <c r="B14">
        <v>2000</v>
      </c>
      <c r="C14">
        <v>2000</v>
      </c>
      <c r="D14">
        <v>2000</v>
      </c>
      <c r="E14">
        <v>2000</v>
      </c>
      <c r="F14">
        <v>2000</v>
      </c>
      <c r="G14">
        <v>2000</v>
      </c>
      <c r="H14">
        <v>2000</v>
      </c>
      <c r="I14">
        <v>2000</v>
      </c>
      <c r="J14">
        <v>2000</v>
      </c>
      <c r="K14">
        <v>2000</v>
      </c>
      <c r="L14">
        <v>2000</v>
      </c>
      <c r="M14">
        <v>2000</v>
      </c>
      <c r="N14">
        <v>2000</v>
      </c>
      <c r="O14">
        <v>2000</v>
      </c>
      <c r="P14">
        <v>2000</v>
      </c>
    </row>
    <row r="15" spans="1:21" x14ac:dyDescent="0.25">
      <c r="A15" t="s">
        <v>20</v>
      </c>
      <c r="B15">
        <v>2000</v>
      </c>
      <c r="C15">
        <v>2000</v>
      </c>
      <c r="D15">
        <v>2000</v>
      </c>
      <c r="E15">
        <v>2000</v>
      </c>
      <c r="F15">
        <v>2000</v>
      </c>
      <c r="G15">
        <v>2000</v>
      </c>
    </row>
    <row r="16" spans="1:21" x14ac:dyDescent="0.25">
      <c r="A16" t="s">
        <v>22</v>
      </c>
      <c r="B16">
        <v>2000</v>
      </c>
      <c r="C16">
        <v>2000</v>
      </c>
      <c r="D16">
        <v>2000</v>
      </c>
      <c r="E16">
        <v>2000</v>
      </c>
    </row>
    <row r="17" spans="1:21" x14ac:dyDescent="0.25">
      <c r="A17" t="s">
        <v>23</v>
      </c>
      <c r="B17">
        <v>2000</v>
      </c>
      <c r="C17">
        <v>2000</v>
      </c>
    </row>
    <row r="18" spans="1:21" x14ac:dyDescent="0.25">
      <c r="A18" t="s">
        <v>21</v>
      </c>
      <c r="B18">
        <v>2000</v>
      </c>
      <c r="C18">
        <v>2000</v>
      </c>
      <c r="D18">
        <v>2000</v>
      </c>
      <c r="E18">
        <v>2000</v>
      </c>
      <c r="F18">
        <v>2000</v>
      </c>
    </row>
    <row r="20" spans="1:21" x14ac:dyDescent="0.25">
      <c r="A20" t="s">
        <v>29</v>
      </c>
      <c r="G20">
        <v>10000</v>
      </c>
      <c r="H20">
        <v>20000</v>
      </c>
      <c r="I20">
        <v>20000</v>
      </c>
      <c r="P20">
        <v>50000</v>
      </c>
      <c r="Q20">
        <v>50000</v>
      </c>
      <c r="R20">
        <v>50000</v>
      </c>
    </row>
    <row r="21" spans="1:21" x14ac:dyDescent="0.25">
      <c r="A21" t="s">
        <v>25</v>
      </c>
      <c r="H21">
        <v>37500</v>
      </c>
      <c r="I21">
        <v>75000</v>
      </c>
      <c r="J21">
        <v>37500</v>
      </c>
      <c r="Q21">
        <v>37500</v>
      </c>
      <c r="R21">
        <v>67500</v>
      </c>
      <c r="S21">
        <v>90000</v>
      </c>
      <c r="T21">
        <v>5000</v>
      </c>
    </row>
    <row r="22" spans="1:21" x14ac:dyDescent="0.25">
      <c r="A22" t="s">
        <v>26</v>
      </c>
      <c r="J22">
        <v>56250</v>
      </c>
      <c r="K22">
        <v>37500</v>
      </c>
      <c r="L22">
        <v>18750</v>
      </c>
      <c r="T22">
        <v>31250</v>
      </c>
      <c r="U22">
        <v>18750</v>
      </c>
    </row>
    <row r="24" spans="1:21" x14ac:dyDescent="0.25">
      <c r="A24" s="1" t="s">
        <v>24</v>
      </c>
      <c r="B24">
        <f t="shared" ref="B24:M24" si="1">SUM(B10:B22)</f>
        <v>15200</v>
      </c>
      <c r="C24">
        <f t="shared" si="1"/>
        <v>15200</v>
      </c>
      <c r="D24">
        <f t="shared" si="1"/>
        <v>13200</v>
      </c>
      <c r="E24">
        <f t="shared" si="1"/>
        <v>13200</v>
      </c>
      <c r="F24">
        <f t="shared" si="1"/>
        <v>11200</v>
      </c>
      <c r="G24">
        <f t="shared" si="1"/>
        <v>19200</v>
      </c>
      <c r="H24">
        <f t="shared" si="1"/>
        <v>64700</v>
      </c>
      <c r="I24">
        <f t="shared" si="1"/>
        <v>102200</v>
      </c>
      <c r="J24">
        <f t="shared" si="1"/>
        <v>100950</v>
      </c>
      <c r="K24">
        <f t="shared" si="1"/>
        <v>44700</v>
      </c>
      <c r="L24">
        <f t="shared" si="1"/>
        <v>25950</v>
      </c>
      <c r="M24">
        <f t="shared" si="1"/>
        <v>7200</v>
      </c>
      <c r="N24">
        <f t="shared" ref="N24:U24" si="2">SUM(N10:N22)</f>
        <v>7200</v>
      </c>
      <c r="O24">
        <f t="shared" si="2"/>
        <v>7200</v>
      </c>
      <c r="P24">
        <f t="shared" si="2"/>
        <v>57200</v>
      </c>
      <c r="Q24">
        <f t="shared" si="2"/>
        <v>87500</v>
      </c>
      <c r="R24">
        <f t="shared" si="2"/>
        <v>117500</v>
      </c>
      <c r="S24">
        <f t="shared" si="2"/>
        <v>90000</v>
      </c>
      <c r="T24">
        <f t="shared" si="2"/>
        <v>36250</v>
      </c>
      <c r="U24">
        <f t="shared" si="2"/>
        <v>18750</v>
      </c>
    </row>
    <row r="26" spans="1:21" x14ac:dyDescent="0.25">
      <c r="A26" s="1" t="s">
        <v>27</v>
      </c>
      <c r="B26">
        <f>B7-B24</f>
        <v>134800</v>
      </c>
      <c r="C26">
        <f t="shared" ref="C26:M26" si="3">C7-C24</f>
        <v>-15200</v>
      </c>
      <c r="D26">
        <f t="shared" si="3"/>
        <v>-13200</v>
      </c>
      <c r="E26">
        <f t="shared" si="3"/>
        <v>-13200</v>
      </c>
      <c r="F26">
        <f t="shared" si="3"/>
        <v>-11200</v>
      </c>
      <c r="G26">
        <f t="shared" si="3"/>
        <v>-19200</v>
      </c>
      <c r="H26">
        <f t="shared" si="3"/>
        <v>-27200</v>
      </c>
      <c r="I26">
        <f t="shared" si="3"/>
        <v>-27200</v>
      </c>
      <c r="J26">
        <f t="shared" si="3"/>
        <v>49050</v>
      </c>
      <c r="K26">
        <f t="shared" si="3"/>
        <v>80300</v>
      </c>
      <c r="L26">
        <f t="shared" si="3"/>
        <v>11550</v>
      </c>
      <c r="M26">
        <f t="shared" si="3"/>
        <v>-7200</v>
      </c>
      <c r="N26">
        <f t="shared" ref="N26:U26" si="4">N7-N24</f>
        <v>-7200</v>
      </c>
      <c r="O26">
        <f t="shared" si="4"/>
        <v>-7200</v>
      </c>
      <c r="P26">
        <f t="shared" si="4"/>
        <v>92800</v>
      </c>
      <c r="Q26">
        <f t="shared" si="4"/>
        <v>-50000</v>
      </c>
      <c r="R26">
        <f t="shared" si="4"/>
        <v>-50000</v>
      </c>
      <c r="S26">
        <f t="shared" si="4"/>
        <v>0</v>
      </c>
      <c r="T26">
        <f t="shared" si="4"/>
        <v>31250</v>
      </c>
      <c r="U26">
        <f t="shared" si="4"/>
        <v>18750</v>
      </c>
    </row>
    <row r="28" spans="1:21" x14ac:dyDescent="0.25">
      <c r="A28" s="1" t="s">
        <v>28</v>
      </c>
      <c r="B28">
        <f>B26</f>
        <v>134800</v>
      </c>
      <c r="C28">
        <f>B28+C26</f>
        <v>119600</v>
      </c>
      <c r="D28">
        <f t="shared" ref="D28:S28" si="5">C28+D26</f>
        <v>106400</v>
      </c>
      <c r="E28">
        <f t="shared" si="5"/>
        <v>93200</v>
      </c>
      <c r="F28">
        <f t="shared" si="5"/>
        <v>82000</v>
      </c>
      <c r="G28">
        <f t="shared" si="5"/>
        <v>62800</v>
      </c>
      <c r="H28">
        <f t="shared" si="5"/>
        <v>35600</v>
      </c>
      <c r="I28">
        <f t="shared" si="5"/>
        <v>8400</v>
      </c>
      <c r="J28">
        <f t="shared" si="5"/>
        <v>57450</v>
      </c>
      <c r="K28">
        <f t="shared" si="5"/>
        <v>137750</v>
      </c>
      <c r="L28">
        <f t="shared" si="5"/>
        <v>149300</v>
      </c>
      <c r="M28">
        <f t="shared" si="5"/>
        <v>142100</v>
      </c>
      <c r="N28">
        <f t="shared" si="5"/>
        <v>134900</v>
      </c>
      <c r="O28">
        <f t="shared" si="5"/>
        <v>127700</v>
      </c>
      <c r="P28">
        <f t="shared" si="5"/>
        <v>220500</v>
      </c>
      <c r="Q28">
        <f t="shared" si="5"/>
        <v>170500</v>
      </c>
      <c r="R28">
        <f t="shared" si="5"/>
        <v>120500</v>
      </c>
      <c r="S28">
        <f t="shared" si="5"/>
        <v>120500</v>
      </c>
      <c r="T28">
        <f t="shared" ref="T28" si="6">S28+T26</f>
        <v>151750</v>
      </c>
      <c r="U28">
        <f t="shared" ref="U28" si="7">T28+U26</f>
        <v>170500</v>
      </c>
    </row>
  </sheetData>
  <conditionalFormatting sqref="B26:U26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workbookViewId="0">
      <pane xSplit="1" topLeftCell="B1" activePane="topRight" state="frozen"/>
      <selection pane="topRight" activeCell="M37" sqref="M37"/>
    </sheetView>
  </sheetViews>
  <sheetFormatPr defaultRowHeight="15" x14ac:dyDescent="0.25"/>
  <cols>
    <col min="1" max="1" width="21.140625" customWidth="1"/>
    <col min="2" max="2" width="11.42578125" customWidth="1"/>
  </cols>
  <sheetData>
    <row r="1" spans="1:16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6" x14ac:dyDescent="0.25">
      <c r="A2" s="1" t="s">
        <v>0</v>
      </c>
    </row>
    <row r="3" spans="1:16" x14ac:dyDescent="0.25">
      <c r="A3" t="s">
        <v>1</v>
      </c>
      <c r="B3">
        <v>100000</v>
      </c>
    </row>
    <row r="4" spans="1:16" x14ac:dyDescent="0.25">
      <c r="A4" t="s">
        <v>2</v>
      </c>
      <c r="B4">
        <v>50000</v>
      </c>
    </row>
    <row r="5" spans="1:16" x14ac:dyDescent="0.25">
      <c r="A5" t="s">
        <v>41</v>
      </c>
      <c r="H5">
        <v>22500</v>
      </c>
      <c r="I5">
        <v>52500</v>
      </c>
      <c r="J5">
        <v>75000</v>
      </c>
      <c r="K5">
        <v>52500</v>
      </c>
      <c r="L5">
        <v>22500</v>
      </c>
    </row>
    <row r="7" spans="1:16" x14ac:dyDescent="0.25">
      <c r="A7" s="1" t="s">
        <v>24</v>
      </c>
      <c r="B7">
        <f>SUM(B3:B5)</f>
        <v>150000</v>
      </c>
      <c r="C7">
        <f t="shared" ref="C7:G7" si="0">SUM(C3:C5)</f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>SUM(H3:H5)</f>
        <v>22500</v>
      </c>
      <c r="I7">
        <f>SUM(I3:I5)</f>
        <v>52500</v>
      </c>
      <c r="J7">
        <f>SUM(J3:J5)</f>
        <v>75000</v>
      </c>
      <c r="K7">
        <f t="shared" ref="K7:L7" si="1">SUM(K3:K5)</f>
        <v>52500</v>
      </c>
      <c r="L7">
        <f t="shared" si="1"/>
        <v>22500</v>
      </c>
    </row>
    <row r="9" spans="1:16" x14ac:dyDescent="0.25">
      <c r="A9" s="1" t="s">
        <v>15</v>
      </c>
    </row>
    <row r="10" spans="1:16" x14ac:dyDescent="0.25">
      <c r="A10" t="s">
        <v>33</v>
      </c>
      <c r="B10">
        <v>1200</v>
      </c>
      <c r="C10">
        <v>1200</v>
      </c>
      <c r="D10">
        <v>1200</v>
      </c>
      <c r="E10">
        <v>1200</v>
      </c>
      <c r="F10">
        <v>1200</v>
      </c>
      <c r="G10">
        <v>1200</v>
      </c>
      <c r="H10">
        <v>1200</v>
      </c>
      <c r="I10">
        <v>1200</v>
      </c>
      <c r="J10">
        <v>1200</v>
      </c>
    </row>
    <row r="11" spans="1:16" x14ac:dyDescent="0.25">
      <c r="B11" s="4" t="s">
        <v>38</v>
      </c>
      <c r="C11" s="4"/>
      <c r="D11" s="4"/>
      <c r="E11" s="4"/>
      <c r="F11" s="4"/>
      <c r="G11" s="4"/>
      <c r="H11" s="3" t="s">
        <v>37</v>
      </c>
      <c r="I11" s="3"/>
      <c r="J11" s="3"/>
      <c r="K11" s="2"/>
      <c r="L11" s="2"/>
      <c r="M11" s="2"/>
      <c r="N11" s="2"/>
      <c r="O11" s="2"/>
      <c r="P11" s="2"/>
    </row>
    <row r="12" spans="1:16" x14ac:dyDescent="0.25">
      <c r="A12" t="s">
        <v>17</v>
      </c>
      <c r="B12">
        <v>2000</v>
      </c>
      <c r="C12">
        <v>2000</v>
      </c>
      <c r="D12">
        <v>2000</v>
      </c>
      <c r="E12">
        <v>2000</v>
      </c>
      <c r="F12">
        <v>2000</v>
      </c>
      <c r="G12">
        <v>2000</v>
      </c>
      <c r="H12">
        <v>2000</v>
      </c>
      <c r="I12">
        <v>2000</v>
      </c>
      <c r="J12">
        <v>2000</v>
      </c>
    </row>
    <row r="13" spans="1:16" x14ac:dyDescent="0.25">
      <c r="A13" t="s">
        <v>18</v>
      </c>
      <c r="B13">
        <v>2000</v>
      </c>
      <c r="C13">
        <v>2000</v>
      </c>
      <c r="D13">
        <v>2000</v>
      </c>
      <c r="E13">
        <v>2000</v>
      </c>
      <c r="F13">
        <v>2000</v>
      </c>
      <c r="G13">
        <v>2000</v>
      </c>
      <c r="H13">
        <v>2000</v>
      </c>
      <c r="I13">
        <v>2000</v>
      </c>
      <c r="J13">
        <v>2000</v>
      </c>
    </row>
    <row r="14" spans="1:16" x14ac:dyDescent="0.25">
      <c r="A14" t="s">
        <v>19</v>
      </c>
      <c r="B14">
        <v>2000</v>
      </c>
      <c r="C14">
        <v>2000</v>
      </c>
      <c r="D14">
        <v>2000</v>
      </c>
      <c r="E14">
        <v>2000</v>
      </c>
      <c r="F14">
        <v>2000</v>
      </c>
      <c r="G14">
        <v>2000</v>
      </c>
      <c r="H14">
        <v>2000</v>
      </c>
      <c r="I14">
        <v>2000</v>
      </c>
      <c r="J14">
        <v>2000</v>
      </c>
    </row>
    <row r="15" spans="1:16" x14ac:dyDescent="0.25">
      <c r="A15" t="s">
        <v>20</v>
      </c>
      <c r="B15">
        <v>2000</v>
      </c>
      <c r="C15">
        <v>2000</v>
      </c>
      <c r="D15">
        <v>2000</v>
      </c>
      <c r="E15">
        <v>2000</v>
      </c>
      <c r="F15">
        <v>2000</v>
      </c>
      <c r="G15">
        <v>2000</v>
      </c>
    </row>
    <row r="16" spans="1:16" x14ac:dyDescent="0.25">
      <c r="A16" t="s">
        <v>22</v>
      </c>
      <c r="B16">
        <v>2000</v>
      </c>
      <c r="C16">
        <v>2000</v>
      </c>
      <c r="D16">
        <v>2000</v>
      </c>
      <c r="E16">
        <v>2000</v>
      </c>
    </row>
    <row r="17" spans="1:12" x14ac:dyDescent="0.25">
      <c r="A17" t="s">
        <v>23</v>
      </c>
      <c r="B17">
        <v>2000</v>
      </c>
      <c r="C17">
        <v>2000</v>
      </c>
    </row>
    <row r="18" spans="1:12" x14ac:dyDescent="0.25">
      <c r="A18" t="s">
        <v>21</v>
      </c>
      <c r="B18">
        <v>2000</v>
      </c>
      <c r="C18">
        <v>2000</v>
      </c>
      <c r="D18">
        <v>2000</v>
      </c>
      <c r="E18">
        <v>2000</v>
      </c>
      <c r="F18">
        <v>2000</v>
      </c>
    </row>
    <row r="20" spans="1:12" x14ac:dyDescent="0.25">
      <c r="A20" t="s">
        <v>29</v>
      </c>
      <c r="F20">
        <v>10000</v>
      </c>
      <c r="G20">
        <v>20000</v>
      </c>
      <c r="H20">
        <v>20000</v>
      </c>
    </row>
    <row r="21" spans="1:12" x14ac:dyDescent="0.25">
      <c r="A21" t="s">
        <v>25</v>
      </c>
      <c r="H21">
        <v>22500</v>
      </c>
      <c r="I21">
        <v>52500</v>
      </c>
      <c r="J21">
        <v>75000</v>
      </c>
    </row>
    <row r="22" spans="1:12" x14ac:dyDescent="0.25">
      <c r="A22" t="s">
        <v>26</v>
      </c>
      <c r="K22">
        <v>26250</v>
      </c>
      <c r="L22">
        <v>11250</v>
      </c>
    </row>
    <row r="24" spans="1:12" x14ac:dyDescent="0.25">
      <c r="A24" s="1" t="s">
        <v>24</v>
      </c>
      <c r="B24">
        <f t="shared" ref="B24:L24" si="2">SUM(B10:B22)</f>
        <v>15200</v>
      </c>
      <c r="C24">
        <f t="shared" si="2"/>
        <v>15200</v>
      </c>
      <c r="D24">
        <f t="shared" si="2"/>
        <v>13200</v>
      </c>
      <c r="E24">
        <f t="shared" si="2"/>
        <v>13200</v>
      </c>
      <c r="F24">
        <f t="shared" si="2"/>
        <v>21200</v>
      </c>
      <c r="G24">
        <f t="shared" si="2"/>
        <v>29200</v>
      </c>
      <c r="H24">
        <f t="shared" si="2"/>
        <v>49700</v>
      </c>
      <c r="I24">
        <f t="shared" si="2"/>
        <v>59700</v>
      </c>
      <c r="J24">
        <f t="shared" si="2"/>
        <v>82200</v>
      </c>
      <c r="K24">
        <f t="shared" si="2"/>
        <v>26250</v>
      </c>
      <c r="L24">
        <f t="shared" si="2"/>
        <v>11250</v>
      </c>
    </row>
    <row r="26" spans="1:12" x14ac:dyDescent="0.25">
      <c r="A26" s="1" t="s">
        <v>27</v>
      </c>
      <c r="B26">
        <f t="shared" ref="B26:L26" si="3">B7-B24</f>
        <v>134800</v>
      </c>
      <c r="C26">
        <f t="shared" si="3"/>
        <v>-15200</v>
      </c>
      <c r="D26">
        <f t="shared" si="3"/>
        <v>-13200</v>
      </c>
      <c r="E26">
        <f t="shared" si="3"/>
        <v>-13200</v>
      </c>
      <c r="F26">
        <f t="shared" si="3"/>
        <v>-21200</v>
      </c>
      <c r="G26">
        <f t="shared" si="3"/>
        <v>-29200</v>
      </c>
      <c r="H26">
        <f t="shared" si="3"/>
        <v>-27200</v>
      </c>
      <c r="I26">
        <f t="shared" si="3"/>
        <v>-7200</v>
      </c>
      <c r="J26">
        <f t="shared" si="3"/>
        <v>-7200</v>
      </c>
      <c r="K26">
        <f t="shared" si="3"/>
        <v>26250</v>
      </c>
      <c r="L26">
        <f t="shared" si="3"/>
        <v>11250</v>
      </c>
    </row>
    <row r="28" spans="1:12" x14ac:dyDescent="0.25">
      <c r="A28" s="1" t="s">
        <v>28</v>
      </c>
      <c r="B28">
        <f>B26</f>
        <v>134800</v>
      </c>
      <c r="C28">
        <f>B28+C26</f>
        <v>119600</v>
      </c>
      <c r="D28">
        <f t="shared" ref="D28:J28" si="4">C28+D26</f>
        <v>106400</v>
      </c>
      <c r="E28">
        <f t="shared" si="4"/>
        <v>93200</v>
      </c>
      <c r="F28">
        <f t="shared" si="4"/>
        <v>72000</v>
      </c>
      <c r="G28">
        <f t="shared" si="4"/>
        <v>42800</v>
      </c>
      <c r="H28">
        <f t="shared" si="4"/>
        <v>15600</v>
      </c>
      <c r="I28">
        <f t="shared" si="4"/>
        <v>8400</v>
      </c>
      <c r="J28">
        <f t="shared" si="4"/>
        <v>1200</v>
      </c>
      <c r="K28">
        <f t="shared" ref="K28" si="5">J28+K26</f>
        <v>27450</v>
      </c>
      <c r="L28">
        <f t="shared" ref="L28" si="6">K28+L26</f>
        <v>38700</v>
      </c>
    </row>
  </sheetData>
  <conditionalFormatting sqref="B26:L2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xSplit="1" topLeftCell="B1" activePane="topRight" state="frozen"/>
      <selection pane="topRight" activeCell="K26" sqref="K26"/>
    </sheetView>
  </sheetViews>
  <sheetFormatPr defaultRowHeight="15" x14ac:dyDescent="0.25"/>
  <cols>
    <col min="1" max="1" width="16.140625" customWidth="1"/>
    <col min="2" max="2" width="11.42578125" customWidth="1"/>
  </cols>
  <sheetData>
    <row r="1" spans="1:16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6" x14ac:dyDescent="0.25">
      <c r="A2" s="1" t="s">
        <v>0</v>
      </c>
    </row>
    <row r="3" spans="1:16" x14ac:dyDescent="0.25">
      <c r="A3" t="s">
        <v>16</v>
      </c>
      <c r="H3">
        <v>5000</v>
      </c>
      <c r="I3">
        <v>10000</v>
      </c>
      <c r="J3">
        <v>20000</v>
      </c>
      <c r="K3">
        <v>10000</v>
      </c>
      <c r="L3">
        <v>5000</v>
      </c>
    </row>
    <row r="5" spans="1:16" x14ac:dyDescent="0.25">
      <c r="A5" s="1" t="s">
        <v>24</v>
      </c>
      <c r="B5">
        <f t="shared" ref="B5:L5" si="0">SUM(B3:B3)</f>
        <v>0</v>
      </c>
      <c r="C5">
        <f t="shared" si="0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5000</v>
      </c>
      <c r="I5">
        <f t="shared" si="0"/>
        <v>10000</v>
      </c>
      <c r="J5">
        <f t="shared" si="0"/>
        <v>20000</v>
      </c>
      <c r="K5">
        <f t="shared" si="0"/>
        <v>10000</v>
      </c>
      <c r="L5">
        <f t="shared" si="0"/>
        <v>5000</v>
      </c>
    </row>
    <row r="7" spans="1:16" x14ac:dyDescent="0.25">
      <c r="A7" s="1" t="s">
        <v>15</v>
      </c>
    </row>
    <row r="8" spans="1:16" x14ac:dyDescent="0.25">
      <c r="B8" s="4" t="s">
        <v>38</v>
      </c>
      <c r="C8" s="4"/>
      <c r="D8" s="4"/>
      <c r="E8" s="4"/>
      <c r="F8" s="4"/>
      <c r="G8" s="4"/>
      <c r="H8" s="3" t="s">
        <v>42</v>
      </c>
      <c r="I8" s="3"/>
      <c r="J8" s="3"/>
      <c r="K8" s="2"/>
      <c r="L8" s="2"/>
      <c r="M8" s="2"/>
      <c r="N8" s="2"/>
      <c r="O8" s="2"/>
      <c r="P8" s="2"/>
    </row>
    <row r="9" spans="1:16" x14ac:dyDescent="0.25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5">
        <f>(H5-H17)/7</f>
        <v>642.85714285714289</v>
      </c>
      <c r="I9" s="5">
        <f t="shared" ref="I9:L9" si="1">(I5-I17)/7</f>
        <v>1285.7142857142858</v>
      </c>
      <c r="J9" s="5">
        <f t="shared" si="1"/>
        <v>2571.4285714285716</v>
      </c>
      <c r="K9" s="5">
        <f t="shared" si="1"/>
        <v>1428.5714285714287</v>
      </c>
      <c r="L9" s="5">
        <f t="shared" si="1"/>
        <v>714.28571428571433</v>
      </c>
    </row>
    <row r="10" spans="1:16" x14ac:dyDescent="0.25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s="5">
        <f>(H5-H17)/7</f>
        <v>642.85714285714289</v>
      </c>
      <c r="I10" s="5">
        <f t="shared" ref="I10:L10" si="2">(I5-I17)/7</f>
        <v>1285.7142857142858</v>
      </c>
      <c r="J10" s="5">
        <f t="shared" si="2"/>
        <v>2571.4285714285716</v>
      </c>
      <c r="K10" s="5">
        <f t="shared" si="2"/>
        <v>1428.5714285714287</v>
      </c>
      <c r="L10" s="5">
        <f t="shared" si="2"/>
        <v>714.28571428571433</v>
      </c>
    </row>
    <row r="11" spans="1:16" x14ac:dyDescent="0.25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s="5">
        <f>(H5-H17)/7</f>
        <v>642.85714285714289</v>
      </c>
      <c r="I11" s="5">
        <f t="shared" ref="I11:L11" si="3">(I5-I17)/7</f>
        <v>1285.7142857142858</v>
      </c>
      <c r="J11" s="5">
        <f t="shared" si="3"/>
        <v>2571.4285714285716</v>
      </c>
      <c r="K11" s="5">
        <f t="shared" si="3"/>
        <v>1428.5714285714287</v>
      </c>
      <c r="L11" s="5">
        <f t="shared" si="3"/>
        <v>714.28571428571433</v>
      </c>
    </row>
    <row r="12" spans="1:16" x14ac:dyDescent="0.25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s="5">
        <f>(H5-H17)/7</f>
        <v>642.85714285714289</v>
      </c>
      <c r="I12" s="5">
        <f t="shared" ref="I12:L12" si="4">(I5-I17)/7</f>
        <v>1285.7142857142858</v>
      </c>
      <c r="J12" s="5">
        <f t="shared" si="4"/>
        <v>2571.4285714285716</v>
      </c>
      <c r="K12" s="5">
        <f t="shared" si="4"/>
        <v>1428.5714285714287</v>
      </c>
      <c r="L12" s="5">
        <f t="shared" si="4"/>
        <v>714.28571428571433</v>
      </c>
    </row>
    <row r="13" spans="1:16" x14ac:dyDescent="0.25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s="5">
        <f>(H5-H17)/7</f>
        <v>642.85714285714289</v>
      </c>
      <c r="I13" s="5">
        <f t="shared" ref="I13:L13" si="5">(I5-I17)/7</f>
        <v>1285.7142857142858</v>
      </c>
      <c r="J13" s="5">
        <f t="shared" si="5"/>
        <v>2571.4285714285716</v>
      </c>
      <c r="K13" s="5">
        <f t="shared" si="5"/>
        <v>1428.5714285714287</v>
      </c>
      <c r="L13" s="5">
        <f t="shared" si="5"/>
        <v>714.28571428571433</v>
      </c>
    </row>
    <row r="14" spans="1:16" x14ac:dyDescent="0.25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s="5">
        <f>(H5-H17)/7</f>
        <v>642.85714285714289</v>
      </c>
      <c r="I14" s="5">
        <f t="shared" ref="I14:L14" si="6">(I5-I17)/7</f>
        <v>1285.7142857142858</v>
      </c>
      <c r="J14" s="5">
        <f t="shared" si="6"/>
        <v>2571.4285714285716</v>
      </c>
      <c r="K14" s="5">
        <f t="shared" si="6"/>
        <v>1428.5714285714287</v>
      </c>
      <c r="L14" s="5">
        <f t="shared" si="6"/>
        <v>714.28571428571433</v>
      </c>
    </row>
    <row r="15" spans="1:16" x14ac:dyDescent="0.25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s="5">
        <f>(H5-H17)/7</f>
        <v>642.85714285714289</v>
      </c>
      <c r="I15" s="5">
        <f t="shared" ref="I15:L15" si="7">(I5-I17)/7</f>
        <v>1285.7142857142858</v>
      </c>
      <c r="J15" s="5">
        <f t="shared" si="7"/>
        <v>2571.4285714285716</v>
      </c>
      <c r="K15" s="5">
        <f t="shared" si="7"/>
        <v>1428.5714285714287</v>
      </c>
      <c r="L15" s="5">
        <f t="shared" si="7"/>
        <v>714.28571428571433</v>
      </c>
    </row>
    <row r="17" spans="1:12" x14ac:dyDescent="0.25">
      <c r="A17" t="s">
        <v>29</v>
      </c>
      <c r="H17">
        <f>H5*0.1</f>
        <v>500</v>
      </c>
      <c r="I17">
        <f t="shared" ref="I17:J17" si="8">I5*0.1</f>
        <v>1000</v>
      </c>
      <c r="J17">
        <f t="shared" si="8"/>
        <v>2000</v>
      </c>
    </row>
    <row r="19" spans="1:12" x14ac:dyDescent="0.25">
      <c r="A19" s="1" t="s">
        <v>24</v>
      </c>
      <c r="B19">
        <f t="shared" ref="B19:J19" si="9">SUM(B8:B17)</f>
        <v>0</v>
      </c>
      <c r="C19">
        <f t="shared" si="9"/>
        <v>0</v>
      </c>
      <c r="D19">
        <f t="shared" si="9"/>
        <v>0</v>
      </c>
      <c r="E19">
        <f t="shared" si="9"/>
        <v>0</v>
      </c>
      <c r="F19">
        <f t="shared" si="9"/>
        <v>0</v>
      </c>
      <c r="G19">
        <f t="shared" si="9"/>
        <v>0</v>
      </c>
      <c r="H19">
        <f t="shared" si="9"/>
        <v>5000.0000000000009</v>
      </c>
      <c r="I19">
        <f t="shared" si="9"/>
        <v>10000.000000000002</v>
      </c>
      <c r="J19">
        <f t="shared" si="9"/>
        <v>20000.000000000004</v>
      </c>
      <c r="K19">
        <f t="shared" ref="K19:L19" si="10">SUM(K8:K17)</f>
        <v>10000.000000000002</v>
      </c>
      <c r="L19">
        <f t="shared" si="10"/>
        <v>5000.0000000000009</v>
      </c>
    </row>
    <row r="21" spans="1:12" x14ac:dyDescent="0.25">
      <c r="A21" s="1" t="s">
        <v>27</v>
      </c>
      <c r="B21">
        <f t="shared" ref="B21:J21" si="11">B5-B19</f>
        <v>0</v>
      </c>
      <c r="C21">
        <f t="shared" si="11"/>
        <v>0</v>
      </c>
      <c r="D21">
        <f t="shared" si="11"/>
        <v>0</v>
      </c>
      <c r="E21">
        <f t="shared" si="11"/>
        <v>0</v>
      </c>
      <c r="F21">
        <f t="shared" si="11"/>
        <v>0</v>
      </c>
      <c r="G21">
        <f t="shared" si="11"/>
        <v>0</v>
      </c>
      <c r="H21">
        <f t="shared" si="11"/>
        <v>0</v>
      </c>
      <c r="I21">
        <f t="shared" si="11"/>
        <v>0</v>
      </c>
      <c r="J21">
        <f t="shared" si="11"/>
        <v>0</v>
      </c>
      <c r="K21">
        <f t="shared" ref="K21:L21" si="12">K5-K19</f>
        <v>0</v>
      </c>
      <c r="L21">
        <f t="shared" si="12"/>
        <v>0</v>
      </c>
    </row>
    <row r="23" spans="1:12" x14ac:dyDescent="0.25">
      <c r="A23" s="1" t="s">
        <v>28</v>
      </c>
      <c r="B23">
        <f>B21</f>
        <v>0</v>
      </c>
      <c r="C23">
        <f>B23+C21</f>
        <v>0</v>
      </c>
      <c r="D23">
        <f t="shared" ref="D23:J23" si="13">C23+D21</f>
        <v>0</v>
      </c>
      <c r="E23">
        <f t="shared" si="13"/>
        <v>0</v>
      </c>
      <c r="F23">
        <f t="shared" si="13"/>
        <v>0</v>
      </c>
      <c r="G23">
        <f t="shared" si="13"/>
        <v>0</v>
      </c>
      <c r="H23">
        <f t="shared" si="13"/>
        <v>0</v>
      </c>
      <c r="I23">
        <f t="shared" si="13"/>
        <v>0</v>
      </c>
      <c r="J23">
        <f t="shared" si="13"/>
        <v>0</v>
      </c>
      <c r="K23">
        <f t="shared" ref="K23" si="14">J23+K21</f>
        <v>0</v>
      </c>
      <c r="L23">
        <f t="shared" ref="L23" si="15">K23+L21</f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F29" sqref="F29"/>
    </sheetView>
  </sheetViews>
  <sheetFormatPr defaultRowHeight="15" x14ac:dyDescent="0.25"/>
  <cols>
    <col min="1" max="1" width="14" customWidth="1"/>
  </cols>
  <sheetData>
    <row r="1" spans="1:6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s="1" t="s">
        <v>44</v>
      </c>
    </row>
    <row r="3" spans="1:6" x14ac:dyDescent="0.25">
      <c r="A3" s="1" t="s">
        <v>45</v>
      </c>
    </row>
    <row r="4" spans="1:6" x14ac:dyDescent="0.25">
      <c r="A4" t="s">
        <v>46</v>
      </c>
      <c r="B4">
        <v>1000</v>
      </c>
      <c r="C4">
        <v>2000</v>
      </c>
      <c r="D4">
        <v>4000</v>
      </c>
      <c r="E4">
        <v>2000</v>
      </c>
      <c r="F4">
        <v>1000</v>
      </c>
    </row>
    <row r="5" spans="1:6" x14ac:dyDescent="0.25">
      <c r="A5" t="s">
        <v>47</v>
      </c>
      <c r="B5">
        <v>5</v>
      </c>
      <c r="C5">
        <v>5</v>
      </c>
      <c r="D5">
        <v>5</v>
      </c>
      <c r="E5">
        <v>5</v>
      </c>
      <c r="F5">
        <v>5</v>
      </c>
    </row>
    <row r="6" spans="1:6" x14ac:dyDescent="0.25">
      <c r="A6" s="8" t="s">
        <v>48</v>
      </c>
      <c r="B6" s="4">
        <f>B5*B4</f>
        <v>5000</v>
      </c>
      <c r="C6" s="4">
        <f t="shared" ref="C6:F6" si="0">C5*C4</f>
        <v>10000</v>
      </c>
      <c r="D6" s="4">
        <f t="shared" si="0"/>
        <v>20000</v>
      </c>
      <c r="E6" s="4">
        <f t="shared" si="0"/>
        <v>10000</v>
      </c>
      <c r="F6" s="4">
        <f t="shared" si="0"/>
        <v>5000</v>
      </c>
    </row>
    <row r="8" spans="1:6" x14ac:dyDescent="0.25">
      <c r="A8" s="6" t="s">
        <v>49</v>
      </c>
      <c r="B8" s="7">
        <f>B6</f>
        <v>5000</v>
      </c>
      <c r="C8" s="7">
        <f t="shared" ref="C8:F8" si="1">C6</f>
        <v>10000</v>
      </c>
      <c r="D8" s="7">
        <f t="shared" si="1"/>
        <v>20000</v>
      </c>
      <c r="E8" s="7">
        <f t="shared" si="1"/>
        <v>10000</v>
      </c>
      <c r="F8" s="7">
        <f t="shared" si="1"/>
        <v>5000</v>
      </c>
    </row>
    <row r="10" spans="1:6" x14ac:dyDescent="0.25">
      <c r="A10" s="1" t="s">
        <v>50</v>
      </c>
    </row>
    <row r="11" spans="1:6" x14ac:dyDescent="0.25">
      <c r="A11" t="s">
        <v>51</v>
      </c>
      <c r="B11">
        <f>B8*0.1</f>
        <v>500</v>
      </c>
      <c r="C11">
        <f t="shared" ref="C11:D11" si="2">C8*0.1</f>
        <v>1000</v>
      </c>
      <c r="D11">
        <f t="shared" si="2"/>
        <v>2000</v>
      </c>
      <c r="E11">
        <v>0</v>
      </c>
      <c r="F11">
        <v>0</v>
      </c>
    </row>
    <row r="13" spans="1:6" x14ac:dyDescent="0.25">
      <c r="A13" s="6" t="s">
        <v>52</v>
      </c>
      <c r="B13" s="7">
        <f>B11</f>
        <v>500</v>
      </c>
      <c r="C13" s="7">
        <f t="shared" ref="C13:F13" si="3">C11</f>
        <v>1000</v>
      </c>
      <c r="D13" s="7">
        <f t="shared" si="3"/>
        <v>2000</v>
      </c>
      <c r="E13" s="7">
        <f t="shared" si="3"/>
        <v>0</v>
      </c>
      <c r="F13" s="7">
        <f t="shared" si="3"/>
        <v>0</v>
      </c>
    </row>
    <row r="15" spans="1:6" x14ac:dyDescent="0.25">
      <c r="A15" s="1" t="s">
        <v>53</v>
      </c>
      <c r="B15">
        <f>B8-B13</f>
        <v>4500</v>
      </c>
      <c r="C15">
        <f t="shared" ref="C15:F15" si="4">C8-C13</f>
        <v>9000</v>
      </c>
      <c r="D15">
        <f t="shared" si="4"/>
        <v>18000</v>
      </c>
      <c r="E15">
        <f t="shared" si="4"/>
        <v>10000</v>
      </c>
      <c r="F15">
        <f t="shared" si="4"/>
        <v>5000</v>
      </c>
    </row>
    <row r="17" spans="1:6" x14ac:dyDescent="0.25">
      <c r="A17" s="6" t="s">
        <v>54</v>
      </c>
      <c r="B17" s="7">
        <f>B15</f>
        <v>4500</v>
      </c>
      <c r="C17" s="7">
        <f>C15+B17</f>
        <v>13500</v>
      </c>
      <c r="D17" s="7">
        <f t="shared" ref="D17:F17" si="5">D15+C17</f>
        <v>31500</v>
      </c>
      <c r="E17" s="7">
        <f t="shared" si="5"/>
        <v>41500</v>
      </c>
      <c r="F17" s="7">
        <f t="shared" si="5"/>
        <v>46500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>
      <selection activeCell="O11" sqref="O11"/>
    </sheetView>
  </sheetViews>
  <sheetFormatPr defaultRowHeight="15" x14ac:dyDescent="0.25"/>
  <cols>
    <col min="1" max="1" width="16.85546875" customWidth="1"/>
    <col min="8" max="8" width="16.140625" customWidth="1"/>
  </cols>
  <sheetData>
    <row r="1" spans="1:13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  <c r="I1" t="s">
        <v>3</v>
      </c>
      <c r="J1" t="s">
        <v>4</v>
      </c>
      <c r="K1" t="s">
        <v>5</v>
      </c>
      <c r="L1" t="s">
        <v>6</v>
      </c>
      <c r="M1" t="s">
        <v>7</v>
      </c>
    </row>
    <row r="2" spans="1:13" x14ac:dyDescent="0.25">
      <c r="A2" s="1" t="s">
        <v>44</v>
      </c>
      <c r="H2" s="1" t="s">
        <v>44</v>
      </c>
    </row>
    <row r="3" spans="1:13" x14ac:dyDescent="0.25">
      <c r="A3" s="1" t="s">
        <v>65</v>
      </c>
      <c r="H3" s="1" t="s">
        <v>65</v>
      </c>
    </row>
    <row r="4" spans="1:13" x14ac:dyDescent="0.25">
      <c r="A4" t="s">
        <v>46</v>
      </c>
      <c r="B4">
        <v>3000</v>
      </c>
      <c r="C4">
        <v>7000</v>
      </c>
      <c r="D4">
        <v>10000</v>
      </c>
      <c r="E4">
        <v>7000</v>
      </c>
      <c r="F4">
        <v>3000</v>
      </c>
      <c r="H4" t="s">
        <v>46</v>
      </c>
      <c r="I4">
        <v>5000</v>
      </c>
      <c r="J4">
        <v>10000</v>
      </c>
      <c r="K4">
        <v>20000</v>
      </c>
      <c r="L4">
        <v>10000</v>
      </c>
      <c r="M4">
        <v>5000</v>
      </c>
    </row>
    <row r="5" spans="1:13" x14ac:dyDescent="0.25">
      <c r="A5" t="s">
        <v>47</v>
      </c>
      <c r="B5">
        <v>7.5</v>
      </c>
      <c r="C5">
        <v>7.5</v>
      </c>
      <c r="D5">
        <v>7.5</v>
      </c>
      <c r="E5">
        <v>7.5</v>
      </c>
      <c r="F5">
        <v>7.5</v>
      </c>
      <c r="H5" t="s">
        <v>47</v>
      </c>
      <c r="I5">
        <v>7.5</v>
      </c>
      <c r="J5">
        <v>7.5</v>
      </c>
      <c r="K5">
        <v>7.5</v>
      </c>
      <c r="L5">
        <v>7.5</v>
      </c>
      <c r="M5">
        <v>7.5</v>
      </c>
    </row>
    <row r="6" spans="1:13" x14ac:dyDescent="0.25">
      <c r="A6" s="8" t="s">
        <v>48</v>
      </c>
      <c r="B6" s="4">
        <f>B5*B4</f>
        <v>22500</v>
      </c>
      <c r="C6" s="4">
        <f t="shared" ref="C6:F6" si="0">C5*C4</f>
        <v>52500</v>
      </c>
      <c r="D6" s="4">
        <f t="shared" si="0"/>
        <v>75000</v>
      </c>
      <c r="E6" s="4">
        <f t="shared" si="0"/>
        <v>52500</v>
      </c>
      <c r="F6" s="4">
        <f t="shared" si="0"/>
        <v>22500</v>
      </c>
      <c r="H6" s="8" t="s">
        <v>48</v>
      </c>
      <c r="I6" s="4">
        <f>I5*I4</f>
        <v>37500</v>
      </c>
      <c r="J6" s="4">
        <f t="shared" ref="J6:M6" si="1">J5*J4</f>
        <v>75000</v>
      </c>
      <c r="K6" s="4">
        <f t="shared" si="1"/>
        <v>150000</v>
      </c>
      <c r="L6" s="4">
        <f t="shared" si="1"/>
        <v>75000</v>
      </c>
      <c r="M6" s="4">
        <f t="shared" si="1"/>
        <v>37500</v>
      </c>
    </row>
    <row r="8" spans="1:13" x14ac:dyDescent="0.25">
      <c r="A8" s="6" t="s">
        <v>49</v>
      </c>
      <c r="B8" s="7">
        <f>B6</f>
        <v>22500</v>
      </c>
      <c r="C8" s="7">
        <f t="shared" ref="C8:F8" si="2">C6</f>
        <v>52500</v>
      </c>
      <c r="D8" s="7">
        <f t="shared" si="2"/>
        <v>75000</v>
      </c>
      <c r="E8" s="7">
        <f t="shared" si="2"/>
        <v>52500</v>
      </c>
      <c r="F8" s="7">
        <f t="shared" si="2"/>
        <v>22500</v>
      </c>
      <c r="H8" s="6" t="s">
        <v>49</v>
      </c>
      <c r="I8" s="7">
        <f>I6</f>
        <v>37500</v>
      </c>
      <c r="J8" s="7">
        <f t="shared" ref="J8:M8" si="3">J6</f>
        <v>75000</v>
      </c>
      <c r="K8" s="7">
        <f t="shared" si="3"/>
        <v>150000</v>
      </c>
      <c r="L8" s="7">
        <f t="shared" si="3"/>
        <v>75000</v>
      </c>
      <c r="M8" s="7">
        <f t="shared" si="3"/>
        <v>37500</v>
      </c>
    </row>
    <row r="10" spans="1:13" x14ac:dyDescent="0.25">
      <c r="A10" s="1" t="s">
        <v>50</v>
      </c>
      <c r="H10" s="1" t="s">
        <v>50</v>
      </c>
    </row>
    <row r="11" spans="1:13" x14ac:dyDescent="0.25">
      <c r="A11" s="18" t="s">
        <v>69</v>
      </c>
      <c r="B11">
        <v>22500</v>
      </c>
      <c r="C11">
        <v>52500</v>
      </c>
      <c r="D11">
        <v>75000</v>
      </c>
      <c r="H11" s="18" t="s">
        <v>69</v>
      </c>
      <c r="I11">
        <v>37500</v>
      </c>
      <c r="J11">
        <v>75000</v>
      </c>
      <c r="K11">
        <v>37500</v>
      </c>
    </row>
    <row r="12" spans="1:13" x14ac:dyDescent="0.25">
      <c r="A12" t="s">
        <v>66</v>
      </c>
      <c r="B12">
        <f>(B8-B11)*0.5</f>
        <v>0</v>
      </c>
      <c r="C12">
        <f t="shared" ref="C12:F12" si="4">(C8-C11)*0.5</f>
        <v>0</v>
      </c>
      <c r="D12">
        <f t="shared" si="4"/>
        <v>0</v>
      </c>
      <c r="E12">
        <f t="shared" si="4"/>
        <v>26250</v>
      </c>
      <c r="F12">
        <f t="shared" si="4"/>
        <v>11250</v>
      </c>
      <c r="H12" t="s">
        <v>66</v>
      </c>
      <c r="I12">
        <f>(I8-I11)*0.5</f>
        <v>0</v>
      </c>
      <c r="J12">
        <f t="shared" ref="J12" si="5">(J8-J11)*0.5</f>
        <v>0</v>
      </c>
      <c r="K12">
        <f t="shared" ref="K12" si="6">(K8-K11)*0.5</f>
        <v>56250</v>
      </c>
      <c r="L12">
        <f t="shared" ref="L12" si="7">(L8-L11)*0.5</f>
        <v>37500</v>
      </c>
      <c r="M12">
        <f t="shared" ref="M12" si="8">(M8-M11)*0.5</f>
        <v>18750</v>
      </c>
    </row>
    <row r="14" spans="1:13" x14ac:dyDescent="0.25">
      <c r="A14" s="6" t="s">
        <v>52</v>
      </c>
      <c r="B14" s="7">
        <f>B11+B12</f>
        <v>22500</v>
      </c>
      <c r="C14" s="7">
        <f t="shared" ref="C14:F14" si="9">C11+C12</f>
        <v>52500</v>
      </c>
      <c r="D14" s="7">
        <f t="shared" si="9"/>
        <v>75000</v>
      </c>
      <c r="E14" s="7">
        <f t="shared" si="9"/>
        <v>26250</v>
      </c>
      <c r="F14" s="7">
        <f t="shared" si="9"/>
        <v>11250</v>
      </c>
      <c r="H14" s="6" t="s">
        <v>52</v>
      </c>
      <c r="I14" s="7">
        <f>I11+I12</f>
        <v>37500</v>
      </c>
      <c r="J14" s="7">
        <f t="shared" ref="J14:M14" si="10">J11+J12</f>
        <v>75000</v>
      </c>
      <c r="K14" s="7">
        <f t="shared" si="10"/>
        <v>93750</v>
      </c>
      <c r="L14" s="7">
        <f t="shared" si="10"/>
        <v>37500</v>
      </c>
      <c r="M14" s="7">
        <f t="shared" si="10"/>
        <v>18750</v>
      </c>
    </row>
    <row r="16" spans="1:13" x14ac:dyDescent="0.25">
      <c r="A16" s="1" t="s">
        <v>53</v>
      </c>
      <c r="B16">
        <f>B8-B14</f>
        <v>0</v>
      </c>
      <c r="C16">
        <f t="shared" ref="C16:F16" si="11">C8-C14</f>
        <v>0</v>
      </c>
      <c r="D16">
        <f t="shared" si="11"/>
        <v>0</v>
      </c>
      <c r="E16">
        <f t="shared" si="11"/>
        <v>26250</v>
      </c>
      <c r="F16">
        <f t="shared" si="11"/>
        <v>11250</v>
      </c>
      <c r="H16" s="1" t="s">
        <v>53</v>
      </c>
      <c r="I16">
        <f>I8-I14</f>
        <v>0</v>
      </c>
      <c r="J16">
        <f t="shared" ref="J16:M16" si="12">J8-J14</f>
        <v>0</v>
      </c>
      <c r="K16">
        <f t="shared" si="12"/>
        <v>56250</v>
      </c>
      <c r="L16">
        <f t="shared" si="12"/>
        <v>37500</v>
      </c>
      <c r="M16">
        <f t="shared" si="12"/>
        <v>18750</v>
      </c>
    </row>
    <row r="18" spans="1:13" x14ac:dyDescent="0.25">
      <c r="A18" s="6" t="s">
        <v>54</v>
      </c>
      <c r="B18" s="7">
        <f>B16</f>
        <v>0</v>
      </c>
      <c r="C18" s="7">
        <f>C16+B18</f>
        <v>0</v>
      </c>
      <c r="D18" s="7">
        <f t="shared" ref="D18:F18" si="13">D16+C18</f>
        <v>0</v>
      </c>
      <c r="E18" s="7">
        <f t="shared" si="13"/>
        <v>26250</v>
      </c>
      <c r="F18" s="7">
        <f t="shared" si="13"/>
        <v>37500</v>
      </c>
      <c r="H18" s="6" t="s">
        <v>54</v>
      </c>
      <c r="I18" s="7">
        <f>I16</f>
        <v>0</v>
      </c>
      <c r="J18" s="7">
        <f>J16+I18</f>
        <v>0</v>
      </c>
      <c r="K18" s="7">
        <f t="shared" ref="K18" si="14">K16+J18</f>
        <v>56250</v>
      </c>
      <c r="L18" s="7">
        <f t="shared" ref="L18" si="15">L16+K18</f>
        <v>93750</v>
      </c>
      <c r="M18" s="7">
        <f t="shared" ref="M18" si="16">M16+L18</f>
        <v>112500</v>
      </c>
    </row>
    <row r="22" spans="1:13" x14ac:dyDescent="0.25">
      <c r="B22" t="s">
        <v>3</v>
      </c>
      <c r="C22" t="s">
        <v>4</v>
      </c>
      <c r="D22" t="s">
        <v>5</v>
      </c>
      <c r="E22" t="s">
        <v>6</v>
      </c>
      <c r="F22" t="s">
        <v>7</v>
      </c>
      <c r="H22">
        <f>SUM(I11:M11)</f>
        <v>150000</v>
      </c>
    </row>
    <row r="23" spans="1:13" x14ac:dyDescent="0.25">
      <c r="A23" s="1" t="s">
        <v>44</v>
      </c>
    </row>
    <row r="24" spans="1:13" x14ac:dyDescent="0.25">
      <c r="A24" s="1" t="s">
        <v>67</v>
      </c>
    </row>
    <row r="25" spans="1:13" x14ac:dyDescent="0.25">
      <c r="A25" t="s">
        <v>46</v>
      </c>
      <c r="B25">
        <v>2500</v>
      </c>
      <c r="C25">
        <v>4500</v>
      </c>
      <c r="D25">
        <v>6000</v>
      </c>
      <c r="E25">
        <v>4500</v>
      </c>
      <c r="F25">
        <v>2500</v>
      </c>
    </row>
    <row r="26" spans="1:13" x14ac:dyDescent="0.25">
      <c r="A26" t="s">
        <v>47</v>
      </c>
      <c r="B26">
        <v>5</v>
      </c>
      <c r="C26">
        <v>5</v>
      </c>
      <c r="D26">
        <v>5</v>
      </c>
      <c r="E26">
        <v>5</v>
      </c>
      <c r="F26">
        <v>5</v>
      </c>
    </row>
    <row r="27" spans="1:13" x14ac:dyDescent="0.25">
      <c r="A27" s="8" t="s">
        <v>48</v>
      </c>
      <c r="B27" s="4">
        <f>B26*B25</f>
        <v>12500</v>
      </c>
      <c r="C27" s="4">
        <f>C26*C25</f>
        <v>22500</v>
      </c>
      <c r="D27" s="4">
        <f>D26*D25</f>
        <v>30000</v>
      </c>
      <c r="E27" s="4">
        <f>E26*E25</f>
        <v>22500</v>
      </c>
      <c r="F27" s="4">
        <f>F26*F25</f>
        <v>12500</v>
      </c>
    </row>
    <row r="28" spans="1:13" x14ac:dyDescent="0.25">
      <c r="A28" s="17"/>
      <c r="B28" s="2"/>
      <c r="C28" s="2"/>
      <c r="D28" s="2"/>
      <c r="E28" s="2"/>
      <c r="F28" s="2"/>
    </row>
    <row r="29" spans="1:13" x14ac:dyDescent="0.25">
      <c r="A29" s="1" t="s">
        <v>68</v>
      </c>
    </row>
    <row r="30" spans="1:13" x14ac:dyDescent="0.25">
      <c r="A30" t="s">
        <v>46</v>
      </c>
      <c r="B30">
        <v>2500</v>
      </c>
      <c r="C30">
        <v>4500</v>
      </c>
      <c r="D30">
        <v>6000</v>
      </c>
      <c r="E30">
        <v>4500</v>
      </c>
      <c r="F30">
        <v>2500</v>
      </c>
    </row>
    <row r="31" spans="1:13" x14ac:dyDescent="0.25">
      <c r="A31" t="s">
        <v>47</v>
      </c>
      <c r="B31">
        <v>5</v>
      </c>
      <c r="C31">
        <v>5</v>
      </c>
      <c r="D31">
        <v>5</v>
      </c>
      <c r="E31">
        <v>5</v>
      </c>
      <c r="F31">
        <v>5</v>
      </c>
    </row>
    <row r="32" spans="1:13" x14ac:dyDescent="0.25">
      <c r="A32" s="8" t="s">
        <v>48</v>
      </c>
      <c r="B32" s="4">
        <f>B31*B30</f>
        <v>12500</v>
      </c>
      <c r="C32" s="4">
        <f t="shared" ref="C32:F32" si="17">C31*C30</f>
        <v>22500</v>
      </c>
      <c r="D32" s="4">
        <f t="shared" si="17"/>
        <v>30000</v>
      </c>
      <c r="E32" s="4">
        <f t="shared" si="17"/>
        <v>22500</v>
      </c>
      <c r="F32" s="4">
        <f t="shared" si="17"/>
        <v>12500</v>
      </c>
    </row>
    <row r="33" spans="1:6" x14ac:dyDescent="0.25">
      <c r="A33" s="17"/>
      <c r="B33" s="2"/>
      <c r="C33" s="2"/>
      <c r="D33" s="2"/>
      <c r="E33" s="2"/>
      <c r="F33" s="2"/>
    </row>
    <row r="34" spans="1:6" x14ac:dyDescent="0.25">
      <c r="A34" s="1" t="s">
        <v>68</v>
      </c>
    </row>
    <row r="35" spans="1:6" x14ac:dyDescent="0.25">
      <c r="A35" t="s">
        <v>46</v>
      </c>
      <c r="B35">
        <v>2500</v>
      </c>
      <c r="C35">
        <v>4500</v>
      </c>
      <c r="D35">
        <v>6000</v>
      </c>
      <c r="E35">
        <v>4500</v>
      </c>
      <c r="F35">
        <v>2500</v>
      </c>
    </row>
    <row r="36" spans="1:6" x14ac:dyDescent="0.25">
      <c r="A36" t="s">
        <v>47</v>
      </c>
      <c r="B36">
        <v>5</v>
      </c>
      <c r="C36">
        <v>5</v>
      </c>
      <c r="D36">
        <v>5</v>
      </c>
      <c r="E36">
        <v>5</v>
      </c>
      <c r="F36">
        <v>5</v>
      </c>
    </row>
    <row r="37" spans="1:6" x14ac:dyDescent="0.25">
      <c r="A37" s="8" t="s">
        <v>48</v>
      </c>
      <c r="B37" s="4">
        <f>B36*B35</f>
        <v>12500</v>
      </c>
      <c r="C37" s="4">
        <f t="shared" ref="C37:F37" si="18">C36*C35</f>
        <v>22500</v>
      </c>
      <c r="D37" s="4">
        <f t="shared" si="18"/>
        <v>30000</v>
      </c>
      <c r="E37" s="4">
        <f t="shared" si="18"/>
        <v>22500</v>
      </c>
      <c r="F37" s="4">
        <f t="shared" si="18"/>
        <v>12500</v>
      </c>
    </row>
    <row r="39" spans="1:6" x14ac:dyDescent="0.25">
      <c r="A39" s="6" t="s">
        <v>49</v>
      </c>
      <c r="B39" s="7">
        <f>B27+B32+B37</f>
        <v>37500</v>
      </c>
      <c r="C39" s="7">
        <f t="shared" ref="C39:F39" si="19">C27+C32+C37</f>
        <v>67500</v>
      </c>
      <c r="D39" s="7">
        <f t="shared" si="19"/>
        <v>90000</v>
      </c>
      <c r="E39" s="7">
        <f t="shared" si="19"/>
        <v>67500</v>
      </c>
      <c r="F39" s="7">
        <f t="shared" si="19"/>
        <v>37500</v>
      </c>
    </row>
    <row r="41" spans="1:6" x14ac:dyDescent="0.25">
      <c r="A41" s="1" t="s">
        <v>50</v>
      </c>
    </row>
    <row r="42" spans="1:6" x14ac:dyDescent="0.25">
      <c r="A42" s="18" t="s">
        <v>70</v>
      </c>
      <c r="B42">
        <v>37500</v>
      </c>
      <c r="C42">
        <v>67500</v>
      </c>
      <c r="D42">
        <v>90000</v>
      </c>
      <c r="E42">
        <v>5000</v>
      </c>
    </row>
    <row r="43" spans="1:6" x14ac:dyDescent="0.25">
      <c r="A43" t="s">
        <v>66</v>
      </c>
      <c r="B43">
        <f>(B39-B42)*0.5</f>
        <v>0</v>
      </c>
      <c r="C43">
        <f t="shared" ref="C43:F43" si="20">(C39-C42)*0.5</f>
        <v>0</v>
      </c>
      <c r="D43">
        <f t="shared" si="20"/>
        <v>0</v>
      </c>
      <c r="E43">
        <f t="shared" si="20"/>
        <v>31250</v>
      </c>
      <c r="F43">
        <f t="shared" si="20"/>
        <v>18750</v>
      </c>
    </row>
    <row r="45" spans="1:6" x14ac:dyDescent="0.25">
      <c r="A45" s="6" t="s">
        <v>52</v>
      </c>
      <c r="B45" s="7">
        <f>B42+B43</f>
        <v>37500</v>
      </c>
      <c r="C45" s="7">
        <f t="shared" ref="C45:F45" si="21">C42+C43</f>
        <v>67500</v>
      </c>
      <c r="D45" s="7">
        <f t="shared" si="21"/>
        <v>90000</v>
      </c>
      <c r="E45" s="7">
        <f t="shared" si="21"/>
        <v>36250</v>
      </c>
      <c r="F45" s="7">
        <f t="shared" si="21"/>
        <v>18750</v>
      </c>
    </row>
    <row r="47" spans="1:6" x14ac:dyDescent="0.25">
      <c r="A47" s="1" t="s">
        <v>53</v>
      </c>
      <c r="B47">
        <f>B39-B45</f>
        <v>0</v>
      </c>
      <c r="C47">
        <f t="shared" ref="C47:F47" si="22">C39-C45</f>
        <v>0</v>
      </c>
      <c r="D47">
        <f t="shared" si="22"/>
        <v>0</v>
      </c>
      <c r="E47">
        <f t="shared" si="22"/>
        <v>31250</v>
      </c>
      <c r="F47">
        <f t="shared" si="22"/>
        <v>18750</v>
      </c>
    </row>
    <row r="49" spans="1:6" x14ac:dyDescent="0.25">
      <c r="A49" s="6" t="s">
        <v>54</v>
      </c>
      <c r="B49" s="7">
        <f>B47</f>
        <v>0</v>
      </c>
      <c r="C49" s="7">
        <f>C47+B49</f>
        <v>0</v>
      </c>
      <c r="D49" s="7">
        <f t="shared" ref="D49" si="23">D47+C49</f>
        <v>0</v>
      </c>
      <c r="E49" s="7">
        <f t="shared" ref="E49" si="24">E47+D49</f>
        <v>31250</v>
      </c>
      <c r="F49" s="7">
        <f t="shared" ref="F49" si="25">F47+E49</f>
        <v>50000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Views>
    <sheetView workbookViewId="0">
      <selection activeCell="A4" sqref="A4"/>
    </sheetView>
  </sheetViews>
  <sheetFormatPr defaultRowHeight="15" x14ac:dyDescent="0.25"/>
  <cols>
    <col min="1" max="1" width="13.5703125" customWidth="1"/>
    <col min="2" max="25" width="2.7109375" customWidth="1"/>
    <col min="26" max="26" width="2.28515625" customWidth="1"/>
    <col min="27" max="27" width="2.42578125" customWidth="1"/>
    <col min="28" max="28" width="2.28515625" customWidth="1"/>
    <col min="29" max="29" width="2.85546875" customWidth="1"/>
  </cols>
  <sheetData>
    <row r="1" spans="1:30" x14ac:dyDescent="0.25">
      <c r="A1" s="9"/>
      <c r="B1" s="14" t="s">
        <v>43</v>
      </c>
      <c r="C1" s="15"/>
      <c r="D1" s="15"/>
      <c r="E1" s="15"/>
      <c r="F1" s="14" t="s">
        <v>55</v>
      </c>
      <c r="G1" s="15"/>
      <c r="H1" s="15"/>
      <c r="I1" s="15"/>
      <c r="J1" s="14" t="s">
        <v>56</v>
      </c>
      <c r="K1" s="15"/>
      <c r="L1" s="15"/>
      <c r="M1" s="15"/>
      <c r="N1" s="14" t="s">
        <v>57</v>
      </c>
      <c r="O1" s="15"/>
      <c r="P1" s="15"/>
      <c r="Q1" s="15"/>
      <c r="R1" s="14" t="s">
        <v>58</v>
      </c>
      <c r="S1" s="15"/>
      <c r="T1" s="15"/>
      <c r="U1" s="15"/>
      <c r="V1" s="14" t="s">
        <v>59</v>
      </c>
      <c r="W1" s="15"/>
      <c r="X1" s="15"/>
      <c r="Y1" s="15"/>
      <c r="Z1" s="14" t="s">
        <v>59</v>
      </c>
      <c r="AA1" s="15"/>
      <c r="AB1" s="15"/>
      <c r="AC1" s="16"/>
      <c r="AD1" s="13"/>
    </row>
    <row r="2" spans="1:30" x14ac:dyDescent="0.25">
      <c r="A2" s="9"/>
      <c r="B2" s="9">
        <v>1</v>
      </c>
      <c r="C2" s="9">
        <v>2</v>
      </c>
      <c r="D2" s="9">
        <v>3</v>
      </c>
      <c r="E2" s="9">
        <v>4</v>
      </c>
      <c r="F2" s="9">
        <v>1</v>
      </c>
      <c r="G2" s="9">
        <v>2</v>
      </c>
      <c r="H2" s="9">
        <v>3</v>
      </c>
      <c r="I2" s="9">
        <v>4</v>
      </c>
      <c r="J2" s="9">
        <v>1</v>
      </c>
      <c r="K2" s="9">
        <v>2</v>
      </c>
      <c r="L2" s="9">
        <v>3</v>
      </c>
      <c r="M2" s="9">
        <v>4</v>
      </c>
      <c r="N2" s="9">
        <v>1</v>
      </c>
      <c r="O2" s="9">
        <v>2</v>
      </c>
      <c r="P2" s="9">
        <v>3</v>
      </c>
      <c r="Q2" s="9">
        <v>4</v>
      </c>
      <c r="R2" s="9">
        <v>1</v>
      </c>
      <c r="S2" s="9">
        <v>2</v>
      </c>
      <c r="T2" s="9">
        <v>3</v>
      </c>
      <c r="U2" s="9">
        <v>4</v>
      </c>
      <c r="V2" s="9">
        <v>1</v>
      </c>
      <c r="W2" s="9">
        <v>2</v>
      </c>
      <c r="X2" s="9">
        <v>3</v>
      </c>
      <c r="Y2" s="9">
        <v>4</v>
      </c>
      <c r="Z2" s="9">
        <v>1</v>
      </c>
      <c r="AA2" s="9">
        <v>2</v>
      </c>
      <c r="AB2" s="9">
        <v>3</v>
      </c>
      <c r="AC2" s="9">
        <v>4</v>
      </c>
    </row>
    <row r="3" spans="1:30" x14ac:dyDescent="0.25">
      <c r="A3" s="10" t="s">
        <v>60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30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30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30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30" x14ac:dyDescent="0.25">
      <c r="A9" s="10" t="s">
        <v>61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30" x14ac:dyDescent="0.25">
      <c r="A10" s="9" t="s">
        <v>62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1"/>
      <c r="W10" s="11"/>
      <c r="X10" s="9"/>
      <c r="Y10" s="9"/>
      <c r="Z10" s="9"/>
      <c r="AA10" s="9"/>
      <c r="AB10" s="9"/>
      <c r="AC10" s="9"/>
    </row>
    <row r="11" spans="1:30" x14ac:dyDescent="0.25">
      <c r="A11" s="9" t="s">
        <v>63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1"/>
      <c r="Y11" s="11"/>
      <c r="Z11" s="9"/>
      <c r="AA11" s="9"/>
      <c r="AB11" s="9"/>
      <c r="AC11" s="9"/>
    </row>
    <row r="12" spans="1:30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30" x14ac:dyDescent="0.25">
      <c r="A13" s="10" t="s">
        <v>64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2"/>
      <c r="AA13" s="9"/>
      <c r="AB13" s="9"/>
      <c r="AC13" s="9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Publisher Max Sales</vt:lpstr>
      <vt:lpstr>Publisher Min Sales</vt:lpstr>
      <vt:lpstr>Self-Publishing</vt:lpstr>
      <vt:lpstr>Self-Publishing Sales</vt:lpstr>
      <vt:lpstr>Publishing Sales</vt:lpstr>
      <vt:lpstr>Self-Publishing Dev</vt:lpstr>
      <vt:lpstr>Publishing Dev</vt:lpstr>
    </vt:vector>
  </TitlesOfParts>
  <Company>FXPlus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CLARKE</dc:creator>
  <cp:lastModifiedBy>RYAN CLARKE</cp:lastModifiedBy>
  <dcterms:created xsi:type="dcterms:W3CDTF">2019-03-04T12:20:55Z</dcterms:created>
  <dcterms:modified xsi:type="dcterms:W3CDTF">2019-03-21T13:39:18Z</dcterms:modified>
</cp:coreProperties>
</file>