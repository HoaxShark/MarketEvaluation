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arketEvaluation\"/>
    </mc:Choice>
  </mc:AlternateContent>
  <bookViews>
    <workbookView xWindow="0" yWindow="0" windowWidth="28800" windowHeight="12300" activeTab="2"/>
  </bookViews>
  <sheets>
    <sheet name="Publisher Max Sales" sheetId="1" r:id="rId1"/>
    <sheet name="Publisher Min Sales" sheetId="2" r:id="rId2"/>
    <sheet name="Self-Publishin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8" i="3" l="1"/>
  <c r="I18" i="3"/>
  <c r="H18" i="3"/>
  <c r="G18" i="3"/>
  <c r="F18" i="3"/>
  <c r="E18" i="3"/>
  <c r="D18" i="3"/>
  <c r="C18" i="3"/>
  <c r="B18" i="3"/>
  <c r="J5" i="3"/>
  <c r="I5" i="3"/>
  <c r="H5" i="3"/>
  <c r="G5" i="3"/>
  <c r="F5" i="3"/>
  <c r="F20" i="3" s="1"/>
  <c r="E5" i="3"/>
  <c r="D5" i="3"/>
  <c r="C5" i="3"/>
  <c r="B5" i="3"/>
  <c r="J24" i="2"/>
  <c r="J26" i="2" s="1"/>
  <c r="I24" i="2"/>
  <c r="I26" i="2" s="1"/>
  <c r="H24" i="2"/>
  <c r="G24" i="2"/>
  <c r="F24" i="2"/>
  <c r="E24" i="2"/>
  <c r="D24" i="2"/>
  <c r="C24" i="2"/>
  <c r="C26" i="2" s="1"/>
  <c r="B24" i="2"/>
  <c r="B26" i="2" s="1"/>
  <c r="B28" i="2" s="1"/>
  <c r="J7" i="2"/>
  <c r="I7" i="2"/>
  <c r="H7" i="2"/>
  <c r="G7" i="2"/>
  <c r="G26" i="2" s="1"/>
  <c r="F7" i="2"/>
  <c r="F26" i="2" s="1"/>
  <c r="E7" i="2"/>
  <c r="E26" i="2" s="1"/>
  <c r="D7" i="2"/>
  <c r="D26" i="2" s="1"/>
  <c r="C7" i="2"/>
  <c r="B7" i="2"/>
  <c r="Q26" i="1"/>
  <c r="R26" i="1"/>
  <c r="S26" i="1"/>
  <c r="Q24" i="1"/>
  <c r="R24" i="1"/>
  <c r="S24" i="1"/>
  <c r="Q7" i="1"/>
  <c r="R7" i="1"/>
  <c r="S7" i="1"/>
  <c r="N24" i="1"/>
  <c r="N26" i="1" s="1"/>
  <c r="O24" i="1"/>
  <c r="P24" i="1"/>
  <c r="N7" i="1"/>
  <c r="O7" i="1"/>
  <c r="P7" i="1"/>
  <c r="H20" i="3" l="1"/>
  <c r="G20" i="3"/>
  <c r="B20" i="3"/>
  <c r="B22" i="3" s="1"/>
  <c r="J20" i="3"/>
  <c r="I20" i="3"/>
  <c r="D20" i="3"/>
  <c r="C20" i="3"/>
  <c r="E20" i="3"/>
  <c r="H26" i="2"/>
  <c r="C28" i="2"/>
  <c r="D28" i="2" s="1"/>
  <c r="E28" i="2" s="1"/>
  <c r="F28" i="2" s="1"/>
  <c r="G28" i="2" s="1"/>
  <c r="P26" i="1"/>
  <c r="O26" i="1"/>
  <c r="C22" i="3" l="1"/>
  <c r="D22" i="3"/>
  <c r="E22" i="3" s="1"/>
  <c r="F22" i="3" s="1"/>
  <c r="G22" i="3" s="1"/>
  <c r="H22" i="3" s="1"/>
  <c r="I22" i="3" s="1"/>
  <c r="J22" i="3" s="1"/>
  <c r="H28" i="2"/>
  <c r="I28" i="2" s="1"/>
  <c r="J28" i="2" s="1"/>
  <c r="M24" i="1" l="1"/>
  <c r="C24" i="1"/>
  <c r="D24" i="1"/>
  <c r="E24" i="1"/>
  <c r="E26" i="1" s="1"/>
  <c r="F24" i="1"/>
  <c r="G24" i="1"/>
  <c r="H24" i="1"/>
  <c r="I24" i="1"/>
  <c r="J24" i="1"/>
  <c r="K24" i="1"/>
  <c r="L24" i="1"/>
  <c r="B24" i="1"/>
  <c r="K7" i="1"/>
  <c r="L7" i="1"/>
  <c r="M7" i="1"/>
  <c r="C7" i="1"/>
  <c r="D7" i="1"/>
  <c r="E7" i="1"/>
  <c r="F7" i="1"/>
  <c r="G7" i="1"/>
  <c r="H7" i="1"/>
  <c r="I7" i="1"/>
  <c r="J7" i="1"/>
  <c r="B7" i="1"/>
  <c r="C26" i="1" l="1"/>
  <c r="G26" i="1"/>
  <c r="B26" i="1"/>
  <c r="B28" i="1" s="1"/>
  <c r="I26" i="1"/>
  <c r="H26" i="1"/>
  <c r="F26" i="1"/>
  <c r="L26" i="1"/>
  <c r="K26" i="1"/>
  <c r="D26" i="1"/>
  <c r="J26" i="1"/>
  <c r="M26" i="1"/>
  <c r="C28" i="1" l="1"/>
  <c r="D28" i="1" s="1"/>
  <c r="E28" i="1" s="1"/>
  <c r="F28" i="1" s="1"/>
  <c r="G28" i="1" s="1"/>
  <c r="H28" i="1" s="1"/>
  <c r="I28" i="1" s="1"/>
  <c r="J28" i="1" s="1"/>
  <c r="K28" i="1" s="1"/>
  <c r="L28" i="1" s="1"/>
  <c r="M28" i="1" s="1"/>
  <c r="N28" i="1" s="1"/>
  <c r="O28" i="1" s="1"/>
  <c r="P28" i="1" s="1"/>
  <c r="Q28" i="1" s="1"/>
  <c r="R28" i="1" s="1"/>
  <c r="S28" i="1" s="1"/>
</calcChain>
</file>

<file path=xl/sharedStrings.xml><?xml version="1.0" encoding="utf-8"?>
<sst xmlns="http://schemas.openxmlformats.org/spreadsheetml/2006/main" count="97" uniqueCount="41">
  <si>
    <t>Revenues</t>
  </si>
  <si>
    <t>Dev Investment</t>
  </si>
  <si>
    <t>Marketing Investment</t>
  </si>
  <si>
    <t>Month-1</t>
  </si>
  <si>
    <t>Month-2</t>
  </si>
  <si>
    <t>Month-3</t>
  </si>
  <si>
    <t>Month-4</t>
  </si>
  <si>
    <t>Month-5</t>
  </si>
  <si>
    <t>Month-6</t>
  </si>
  <si>
    <t>Month-7</t>
  </si>
  <si>
    <t>Month-8</t>
  </si>
  <si>
    <t>Month-9</t>
  </si>
  <si>
    <t>Month-10</t>
  </si>
  <si>
    <t>Month-11</t>
  </si>
  <si>
    <t>Month-12</t>
  </si>
  <si>
    <t>Outgoings</t>
  </si>
  <si>
    <t>Sales Net</t>
  </si>
  <si>
    <t>Programmer 1</t>
  </si>
  <si>
    <t>Programmer 2</t>
  </si>
  <si>
    <t>Designer 1</t>
  </si>
  <si>
    <t>Artist 1</t>
  </si>
  <si>
    <t>Animator 1</t>
  </si>
  <si>
    <t>Artist 2</t>
  </si>
  <si>
    <t>Artist 3</t>
  </si>
  <si>
    <t>Total</t>
  </si>
  <si>
    <t>Investment Recoup</t>
  </si>
  <si>
    <t>Revenue Split</t>
  </si>
  <si>
    <t>Period Profit</t>
  </si>
  <si>
    <t>Retained</t>
  </si>
  <si>
    <t>Marketing</t>
  </si>
  <si>
    <t>Month-13</t>
  </si>
  <si>
    <t>Month-14</t>
  </si>
  <si>
    <t>Month-15</t>
  </si>
  <si>
    <t>Office Space</t>
  </si>
  <si>
    <t>Month-16</t>
  </si>
  <si>
    <t>Month-17</t>
  </si>
  <si>
    <t>Month-18</t>
  </si>
  <si>
    <t>Prototyping new IP</t>
  </si>
  <si>
    <t>Finishing dev</t>
  </si>
  <si>
    <t>Console ports</t>
  </si>
  <si>
    <t>Sales After Steam 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</si>
</sst>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ill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>
      <pane xSplit="1" topLeftCell="B1" activePane="topRight" state="frozen"/>
      <selection pane="topRight" activeCell="H18" sqref="H18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9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30</v>
      </c>
      <c r="O1" t="s">
        <v>31</v>
      </c>
      <c r="P1" t="s">
        <v>32</v>
      </c>
      <c r="Q1" t="s">
        <v>34</v>
      </c>
      <c r="R1" t="s">
        <v>35</v>
      </c>
      <c r="S1" t="s">
        <v>36</v>
      </c>
    </row>
    <row r="2" spans="1:19" x14ac:dyDescent="0.25">
      <c r="A2" s="1" t="s">
        <v>0</v>
      </c>
    </row>
    <row r="3" spans="1:19" x14ac:dyDescent="0.25">
      <c r="A3" t="s">
        <v>1</v>
      </c>
      <c r="B3">
        <v>100000</v>
      </c>
      <c r="K3">
        <v>50000</v>
      </c>
    </row>
    <row r="4" spans="1:19" x14ac:dyDescent="0.25">
      <c r="A4" t="s">
        <v>2</v>
      </c>
      <c r="B4">
        <v>50000</v>
      </c>
      <c r="P4">
        <v>150000</v>
      </c>
    </row>
    <row r="5" spans="1:19" x14ac:dyDescent="0.25">
      <c r="A5" t="s">
        <v>40</v>
      </c>
      <c r="H5">
        <v>200000</v>
      </c>
      <c r="I5">
        <v>200000</v>
      </c>
      <c r="J5">
        <v>100000</v>
      </c>
      <c r="Q5">
        <v>100000</v>
      </c>
      <c r="R5">
        <v>100000</v>
      </c>
      <c r="S5">
        <v>100000</v>
      </c>
    </row>
    <row r="7" spans="1:19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200000</v>
      </c>
      <c r="I7">
        <f>SUM(I3:I5)</f>
        <v>200000</v>
      </c>
      <c r="J7">
        <f>SUM(J3:J5)</f>
        <v>100000</v>
      </c>
      <c r="K7">
        <f>SUM(K3:K5)</f>
        <v>50000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150000</v>
      </c>
      <c r="Q7">
        <f t="shared" si="0"/>
        <v>100000</v>
      </c>
      <c r="R7">
        <f t="shared" si="0"/>
        <v>100000</v>
      </c>
      <c r="S7">
        <f t="shared" si="0"/>
        <v>100000</v>
      </c>
    </row>
    <row r="9" spans="1:19" x14ac:dyDescent="0.25">
      <c r="A9" s="1" t="s">
        <v>15</v>
      </c>
    </row>
    <row r="10" spans="1:19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  <c r="K10">
        <v>1200</v>
      </c>
      <c r="L10">
        <v>1200</v>
      </c>
      <c r="M10">
        <v>1200</v>
      </c>
      <c r="N10">
        <v>1200</v>
      </c>
      <c r="O10">
        <v>1200</v>
      </c>
      <c r="P10">
        <v>1200</v>
      </c>
    </row>
    <row r="11" spans="1:19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4" t="s">
        <v>39</v>
      </c>
      <c r="L11" s="4"/>
      <c r="M11" s="4"/>
      <c r="N11" s="4"/>
      <c r="O11" s="4"/>
      <c r="P11" s="4"/>
    </row>
    <row r="12" spans="1:19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  <c r="K12">
        <v>2000</v>
      </c>
      <c r="L12">
        <v>2000</v>
      </c>
      <c r="M12">
        <v>2000</v>
      </c>
      <c r="N12">
        <v>2000</v>
      </c>
      <c r="O12">
        <v>2000</v>
      </c>
      <c r="P12">
        <v>2000</v>
      </c>
    </row>
    <row r="13" spans="1:19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  <c r="K13">
        <v>2000</v>
      </c>
      <c r="L13">
        <v>2000</v>
      </c>
      <c r="M13">
        <v>2000</v>
      </c>
      <c r="N13">
        <v>2000</v>
      </c>
      <c r="O13">
        <v>2000</v>
      </c>
      <c r="P13">
        <v>2000</v>
      </c>
    </row>
    <row r="14" spans="1:19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  <c r="K14">
        <v>2000</v>
      </c>
      <c r="L14">
        <v>2000</v>
      </c>
      <c r="M14">
        <v>2000</v>
      </c>
      <c r="N14">
        <v>2000</v>
      </c>
      <c r="O14">
        <v>2000</v>
      </c>
      <c r="P14">
        <v>2000</v>
      </c>
    </row>
    <row r="15" spans="1:19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9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9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9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9" x14ac:dyDescent="0.25">
      <c r="A20" t="s">
        <v>29</v>
      </c>
      <c r="F20">
        <v>10000</v>
      </c>
      <c r="G20">
        <v>20000</v>
      </c>
      <c r="H20">
        <v>20000</v>
      </c>
      <c r="P20">
        <v>50000</v>
      </c>
      <c r="Q20">
        <v>50000</v>
      </c>
      <c r="R20">
        <v>50000</v>
      </c>
    </row>
    <row r="21" spans="1:19" x14ac:dyDescent="0.25">
      <c r="A21" t="s">
        <v>25</v>
      </c>
      <c r="H21">
        <v>150000</v>
      </c>
      <c r="Q21">
        <v>100000</v>
      </c>
      <c r="R21">
        <v>100000</v>
      </c>
    </row>
    <row r="22" spans="1:19" x14ac:dyDescent="0.25">
      <c r="A22" t="s">
        <v>26</v>
      </c>
      <c r="H22">
        <v>25000</v>
      </c>
      <c r="I22">
        <v>100000</v>
      </c>
      <c r="J22">
        <v>50000</v>
      </c>
      <c r="S22">
        <v>50000</v>
      </c>
    </row>
    <row r="24" spans="1:19" x14ac:dyDescent="0.25">
      <c r="A24" s="1" t="s">
        <v>24</v>
      </c>
      <c r="B24">
        <f>SUM(B10:B22)</f>
        <v>15200</v>
      </c>
      <c r="C24">
        <f>SUM(C10:C22)</f>
        <v>15200</v>
      </c>
      <c r="D24">
        <f>SUM(D10:D22)</f>
        <v>15200</v>
      </c>
      <c r="E24">
        <f>SUM(E10:E22)</f>
        <v>15200</v>
      </c>
      <c r="F24">
        <f>SUM(F10:F22)</f>
        <v>25200</v>
      </c>
      <c r="G24">
        <f>SUM(G10:G22)</f>
        <v>35200</v>
      </c>
      <c r="H24">
        <f>SUM(H10:H22)</f>
        <v>202200</v>
      </c>
      <c r="I24">
        <f>SUM(I10:I22)</f>
        <v>107200</v>
      </c>
      <c r="J24">
        <f>SUM(J10:J22)</f>
        <v>57200</v>
      </c>
      <c r="K24">
        <f>SUM(K10:K22)</f>
        <v>7200</v>
      </c>
      <c r="L24">
        <f>SUM(L10:L22)</f>
        <v>7200</v>
      </c>
      <c r="M24">
        <f>SUM(M10:M22)</f>
        <v>7200</v>
      </c>
      <c r="N24">
        <f t="shared" ref="N24:S24" si="1">SUM(N10:N22)</f>
        <v>7200</v>
      </c>
      <c r="O24">
        <f t="shared" si="1"/>
        <v>7200</v>
      </c>
      <c r="P24">
        <f t="shared" si="1"/>
        <v>57200</v>
      </c>
      <c r="Q24">
        <f t="shared" si="1"/>
        <v>150000</v>
      </c>
      <c r="R24">
        <f t="shared" si="1"/>
        <v>150000</v>
      </c>
      <c r="S24">
        <f t="shared" si="1"/>
        <v>50000</v>
      </c>
    </row>
    <row r="26" spans="1:19" x14ac:dyDescent="0.25">
      <c r="A26" s="1" t="s">
        <v>27</v>
      </c>
      <c r="B26">
        <f>B7-B24</f>
        <v>134800</v>
      </c>
      <c r="C26">
        <f>C7-C24</f>
        <v>-15200</v>
      </c>
      <c r="D26">
        <f>D7-D24</f>
        <v>-15200</v>
      </c>
      <c r="E26">
        <f>E7-E24</f>
        <v>-15200</v>
      </c>
      <c r="F26">
        <f>F7-F24</f>
        <v>-25200</v>
      </c>
      <c r="G26">
        <f>G7-G24</f>
        <v>-35200</v>
      </c>
      <c r="H26">
        <f>H7-H24</f>
        <v>-2200</v>
      </c>
      <c r="I26">
        <f>I7-I24</f>
        <v>92800</v>
      </c>
      <c r="J26">
        <f>J7-J24</f>
        <v>42800</v>
      </c>
      <c r="K26">
        <f>K7-K24</f>
        <v>42800</v>
      </c>
      <c r="L26">
        <f>L7-L24</f>
        <v>-7200</v>
      </c>
      <c r="M26">
        <f>M7-M24</f>
        <v>-7200</v>
      </c>
      <c r="N26">
        <f t="shared" ref="N26:S26" si="2">N7-N24</f>
        <v>-7200</v>
      </c>
      <c r="O26">
        <f t="shared" si="2"/>
        <v>-7200</v>
      </c>
      <c r="P26">
        <f t="shared" si="2"/>
        <v>92800</v>
      </c>
      <c r="Q26">
        <f t="shared" si="2"/>
        <v>-50000</v>
      </c>
      <c r="R26">
        <f t="shared" si="2"/>
        <v>-50000</v>
      </c>
      <c r="S26">
        <f t="shared" si="2"/>
        <v>50000</v>
      </c>
    </row>
    <row r="28" spans="1:19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3">C28+D26</f>
        <v>104400</v>
      </c>
      <c r="E28">
        <f t="shared" si="3"/>
        <v>89200</v>
      </c>
      <c r="F28">
        <f t="shared" si="3"/>
        <v>64000</v>
      </c>
      <c r="G28">
        <f t="shared" si="3"/>
        <v>28800</v>
      </c>
      <c r="H28">
        <f t="shared" si="3"/>
        <v>26600</v>
      </c>
      <c r="I28">
        <f t="shared" si="3"/>
        <v>119400</v>
      </c>
      <c r="J28">
        <f t="shared" si="3"/>
        <v>162200</v>
      </c>
      <c r="K28">
        <f t="shared" si="3"/>
        <v>205000</v>
      </c>
      <c r="L28">
        <f t="shared" si="3"/>
        <v>197800</v>
      </c>
      <c r="M28">
        <f t="shared" si="3"/>
        <v>190600</v>
      </c>
      <c r="N28">
        <f t="shared" si="3"/>
        <v>183400</v>
      </c>
      <c r="O28">
        <f t="shared" si="3"/>
        <v>176200</v>
      </c>
      <c r="P28">
        <f t="shared" si="3"/>
        <v>269000</v>
      </c>
      <c r="Q28">
        <f t="shared" si="3"/>
        <v>219000</v>
      </c>
      <c r="R28">
        <f t="shared" si="3"/>
        <v>169000</v>
      </c>
      <c r="S28">
        <f t="shared" si="3"/>
        <v>219000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8"/>
  <sheetViews>
    <sheetView workbookViewId="0">
      <pane xSplit="1" topLeftCell="B1" activePane="topRight" state="frozen"/>
      <selection pane="topRight" activeCell="L15" sqref="A1:XFD1048576"/>
    </sheetView>
  </sheetViews>
  <sheetFormatPr defaultRowHeight="15" x14ac:dyDescent="0.25"/>
  <cols>
    <col min="1" max="1" width="21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</v>
      </c>
      <c r="B3">
        <v>100000</v>
      </c>
    </row>
    <row r="4" spans="1:16" x14ac:dyDescent="0.25">
      <c r="A4" t="s">
        <v>2</v>
      </c>
      <c r="B4">
        <v>50000</v>
      </c>
    </row>
    <row r="5" spans="1:16" x14ac:dyDescent="0.25">
      <c r="A5" t="s">
        <v>40</v>
      </c>
      <c r="H5">
        <v>100000</v>
      </c>
      <c r="I5">
        <v>100000</v>
      </c>
      <c r="J5">
        <v>100000</v>
      </c>
    </row>
    <row r="7" spans="1:16" x14ac:dyDescent="0.25">
      <c r="A7" s="1" t="s">
        <v>24</v>
      </c>
      <c r="B7">
        <f>SUM(B3:B5)</f>
        <v>150000</v>
      </c>
      <c r="C7">
        <f t="shared" ref="C7:S7" si="0">SUM(C3:C5)</f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>SUM(H3:H5)</f>
        <v>100000</v>
      </c>
      <c r="I7">
        <f>SUM(I3:I5)</f>
        <v>100000</v>
      </c>
      <c r="J7">
        <f>SUM(J3:J5)</f>
        <v>100000</v>
      </c>
    </row>
    <row r="9" spans="1:16" x14ac:dyDescent="0.25">
      <c r="A9" s="1" t="s">
        <v>15</v>
      </c>
    </row>
    <row r="10" spans="1:16" x14ac:dyDescent="0.25">
      <c r="A10" t="s">
        <v>33</v>
      </c>
      <c r="B10">
        <v>1200</v>
      </c>
      <c r="C10">
        <v>1200</v>
      </c>
      <c r="D10">
        <v>1200</v>
      </c>
      <c r="E10">
        <v>1200</v>
      </c>
      <c r="F10">
        <v>1200</v>
      </c>
      <c r="G10">
        <v>1200</v>
      </c>
      <c r="H10">
        <v>1200</v>
      </c>
      <c r="I10">
        <v>1200</v>
      </c>
      <c r="J10">
        <v>1200</v>
      </c>
    </row>
    <row r="11" spans="1:16" x14ac:dyDescent="0.25">
      <c r="B11" s="4" t="s">
        <v>38</v>
      </c>
      <c r="C11" s="4"/>
      <c r="D11" s="4"/>
      <c r="E11" s="4"/>
      <c r="F11" s="4"/>
      <c r="G11" s="4"/>
      <c r="H11" s="3" t="s">
        <v>37</v>
      </c>
      <c r="I11" s="3"/>
      <c r="J11" s="3"/>
      <c r="K11" s="2"/>
      <c r="L11" s="2"/>
      <c r="M11" s="2"/>
      <c r="N11" s="2"/>
      <c r="O11" s="2"/>
      <c r="P11" s="2"/>
    </row>
    <row r="12" spans="1:16" x14ac:dyDescent="0.25">
      <c r="A12" t="s">
        <v>17</v>
      </c>
      <c r="B12">
        <v>2000</v>
      </c>
      <c r="C12">
        <v>2000</v>
      </c>
      <c r="D12">
        <v>2000</v>
      </c>
      <c r="E12">
        <v>2000</v>
      </c>
      <c r="F12">
        <v>2000</v>
      </c>
      <c r="G12">
        <v>2000</v>
      </c>
      <c r="H12">
        <v>2000</v>
      </c>
      <c r="I12">
        <v>2000</v>
      </c>
      <c r="J12">
        <v>2000</v>
      </c>
    </row>
    <row r="13" spans="1:16" x14ac:dyDescent="0.25">
      <c r="A13" t="s">
        <v>18</v>
      </c>
      <c r="B13">
        <v>2000</v>
      </c>
      <c r="C13">
        <v>2000</v>
      </c>
      <c r="D13">
        <v>2000</v>
      </c>
      <c r="E13">
        <v>2000</v>
      </c>
      <c r="F13">
        <v>2000</v>
      </c>
      <c r="G13">
        <v>2000</v>
      </c>
      <c r="H13">
        <v>2000</v>
      </c>
      <c r="I13">
        <v>2000</v>
      </c>
      <c r="J13">
        <v>2000</v>
      </c>
    </row>
    <row r="14" spans="1:16" x14ac:dyDescent="0.25">
      <c r="A14" t="s">
        <v>19</v>
      </c>
      <c r="B14">
        <v>2000</v>
      </c>
      <c r="C14">
        <v>2000</v>
      </c>
      <c r="D14">
        <v>2000</v>
      </c>
      <c r="E14">
        <v>2000</v>
      </c>
      <c r="F14">
        <v>2000</v>
      </c>
      <c r="G14">
        <v>2000</v>
      </c>
      <c r="H14">
        <v>2000</v>
      </c>
      <c r="I14">
        <v>2000</v>
      </c>
      <c r="J14">
        <v>2000</v>
      </c>
    </row>
    <row r="15" spans="1:16" x14ac:dyDescent="0.25">
      <c r="A15" t="s">
        <v>20</v>
      </c>
      <c r="B15">
        <v>2000</v>
      </c>
      <c r="C15">
        <v>2000</v>
      </c>
      <c r="D15">
        <v>2000</v>
      </c>
      <c r="E15">
        <v>2000</v>
      </c>
      <c r="F15">
        <v>2000</v>
      </c>
      <c r="G15">
        <v>2000</v>
      </c>
    </row>
    <row r="16" spans="1:16" x14ac:dyDescent="0.25">
      <c r="A16" t="s">
        <v>22</v>
      </c>
      <c r="B16">
        <v>2000</v>
      </c>
      <c r="C16">
        <v>2000</v>
      </c>
      <c r="D16">
        <v>2000</v>
      </c>
      <c r="E16">
        <v>2000</v>
      </c>
      <c r="F16">
        <v>2000</v>
      </c>
      <c r="G16">
        <v>2000</v>
      </c>
    </row>
    <row r="17" spans="1:10" x14ac:dyDescent="0.25">
      <c r="A17" t="s">
        <v>23</v>
      </c>
      <c r="B17">
        <v>2000</v>
      </c>
      <c r="C17">
        <v>2000</v>
      </c>
      <c r="D17">
        <v>2000</v>
      </c>
      <c r="E17">
        <v>2000</v>
      </c>
      <c r="F17">
        <v>2000</v>
      </c>
      <c r="G17">
        <v>2000</v>
      </c>
    </row>
    <row r="18" spans="1:10" x14ac:dyDescent="0.25">
      <c r="A18" t="s">
        <v>21</v>
      </c>
      <c r="B18">
        <v>2000</v>
      </c>
      <c r="C18">
        <v>2000</v>
      </c>
      <c r="D18">
        <v>2000</v>
      </c>
      <c r="E18">
        <v>2000</v>
      </c>
      <c r="F18">
        <v>2000</v>
      </c>
      <c r="G18">
        <v>2000</v>
      </c>
    </row>
    <row r="20" spans="1:10" x14ac:dyDescent="0.25">
      <c r="A20" t="s">
        <v>29</v>
      </c>
      <c r="F20">
        <v>10000</v>
      </c>
      <c r="G20">
        <v>20000</v>
      </c>
      <c r="H20">
        <v>20000</v>
      </c>
    </row>
    <row r="21" spans="1:10" x14ac:dyDescent="0.25">
      <c r="A21" t="s">
        <v>25</v>
      </c>
      <c r="H21">
        <v>100000</v>
      </c>
      <c r="I21">
        <v>50000</v>
      </c>
    </row>
    <row r="22" spans="1:10" x14ac:dyDescent="0.25">
      <c r="A22" t="s">
        <v>26</v>
      </c>
      <c r="I22">
        <v>25000</v>
      </c>
      <c r="J22">
        <v>50000</v>
      </c>
    </row>
    <row r="24" spans="1:10" x14ac:dyDescent="0.25">
      <c r="A24" s="1" t="s">
        <v>24</v>
      </c>
      <c r="B24">
        <f>SUM(B10:B22)</f>
        <v>15200</v>
      </c>
      <c r="C24">
        <f>SUM(C10:C22)</f>
        <v>15200</v>
      </c>
      <c r="D24">
        <f>SUM(D10:D22)</f>
        <v>15200</v>
      </c>
      <c r="E24">
        <f>SUM(E10:E22)</f>
        <v>15200</v>
      </c>
      <c r="F24">
        <f>SUM(F10:F22)</f>
        <v>25200</v>
      </c>
      <c r="G24">
        <f>SUM(G10:G22)</f>
        <v>35200</v>
      </c>
      <c r="H24">
        <f>SUM(H10:H22)</f>
        <v>127200</v>
      </c>
      <c r="I24">
        <f>SUM(I10:I22)</f>
        <v>82200</v>
      </c>
      <c r="J24">
        <f>SUM(J10:J22)</f>
        <v>57200</v>
      </c>
    </row>
    <row r="26" spans="1:10" x14ac:dyDescent="0.25">
      <c r="A26" s="1" t="s">
        <v>27</v>
      </c>
      <c r="B26">
        <f>B7-B24</f>
        <v>134800</v>
      </c>
      <c r="C26">
        <f>C7-C24</f>
        <v>-15200</v>
      </c>
      <c r="D26">
        <f>D7-D24</f>
        <v>-15200</v>
      </c>
      <c r="E26">
        <f>E7-E24</f>
        <v>-15200</v>
      </c>
      <c r="F26">
        <f>F7-F24</f>
        <v>-25200</v>
      </c>
      <c r="G26">
        <f>G7-G24</f>
        <v>-35200</v>
      </c>
      <c r="H26">
        <f>H7-H24</f>
        <v>-27200</v>
      </c>
      <c r="I26">
        <f>I7-I24</f>
        <v>17800</v>
      </c>
      <c r="J26">
        <f>J7-J24</f>
        <v>42800</v>
      </c>
    </row>
    <row r="28" spans="1:10" x14ac:dyDescent="0.25">
      <c r="A28" s="1" t="s">
        <v>28</v>
      </c>
      <c r="B28">
        <f>B26</f>
        <v>134800</v>
      </c>
      <c r="C28">
        <f>B28+C26</f>
        <v>119600</v>
      </c>
      <c r="D28">
        <f t="shared" ref="D28:S28" si="1">C28+D26</f>
        <v>104400</v>
      </c>
      <c r="E28">
        <f t="shared" si="1"/>
        <v>89200</v>
      </c>
      <c r="F28">
        <f t="shared" si="1"/>
        <v>64000</v>
      </c>
      <c r="G28">
        <f t="shared" si="1"/>
        <v>28800</v>
      </c>
      <c r="H28">
        <f t="shared" si="1"/>
        <v>1600</v>
      </c>
      <c r="I28">
        <f t="shared" si="1"/>
        <v>19400</v>
      </c>
      <c r="J28">
        <f t="shared" si="1"/>
        <v>62200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2"/>
  <sheetViews>
    <sheetView tabSelected="1" workbookViewId="0">
      <pane xSplit="1" topLeftCell="B1" activePane="topRight" state="frozen"/>
      <selection pane="topRight" activeCell="G18" sqref="G18"/>
    </sheetView>
  </sheetViews>
  <sheetFormatPr defaultRowHeight="15" x14ac:dyDescent="0.25"/>
  <cols>
    <col min="1" max="1" width="16.140625" customWidth="1"/>
    <col min="2" max="2" width="11.42578125" customWidth="1"/>
  </cols>
  <sheetData>
    <row r="1" spans="1:16" x14ac:dyDescent="0.25"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</row>
    <row r="2" spans="1:16" x14ac:dyDescent="0.25">
      <c r="A2" s="1" t="s">
        <v>0</v>
      </c>
    </row>
    <row r="3" spans="1:16" x14ac:dyDescent="0.25">
      <c r="A3" t="s">
        <v>16</v>
      </c>
      <c r="H3">
        <v>20000</v>
      </c>
      <c r="I3">
        <v>20000</v>
      </c>
      <c r="J3">
        <v>10000</v>
      </c>
    </row>
    <row r="5" spans="1:16" x14ac:dyDescent="0.25">
      <c r="A5" s="1" t="s">
        <v>24</v>
      </c>
      <c r="B5">
        <f>SUM(B3:B3)</f>
        <v>0</v>
      </c>
      <c r="C5">
        <f>SUM(C3:C3)</f>
        <v>0</v>
      </c>
      <c r="D5">
        <f>SUM(D3:D3)</f>
        <v>0</v>
      </c>
      <c r="E5">
        <f>SUM(E3:E3)</f>
        <v>0</v>
      </c>
      <c r="F5">
        <f>SUM(F3:F3)</f>
        <v>0</v>
      </c>
      <c r="G5">
        <f>SUM(G3:G3)</f>
        <v>0</v>
      </c>
      <c r="H5">
        <f>SUM(H3:H3)</f>
        <v>20000</v>
      </c>
      <c r="I5">
        <f>SUM(I3:I3)</f>
        <v>20000</v>
      </c>
      <c r="J5">
        <f>SUM(J3:J3)</f>
        <v>10000</v>
      </c>
    </row>
    <row r="7" spans="1:16" x14ac:dyDescent="0.25">
      <c r="A7" s="1" t="s">
        <v>15</v>
      </c>
    </row>
    <row r="8" spans="1:16" x14ac:dyDescent="0.25">
      <c r="B8" s="4" t="s">
        <v>38</v>
      </c>
      <c r="C8" s="4"/>
      <c r="D8" s="4"/>
      <c r="E8" s="4"/>
      <c r="F8" s="4"/>
      <c r="G8" s="4"/>
      <c r="H8" s="3" t="s">
        <v>37</v>
      </c>
      <c r="I8" s="3"/>
      <c r="J8" s="3"/>
      <c r="K8" s="2"/>
      <c r="L8" s="2"/>
      <c r="M8" s="2"/>
      <c r="N8" s="2"/>
      <c r="O8" s="2"/>
      <c r="P8" s="2"/>
    </row>
    <row r="9" spans="1:16" x14ac:dyDescent="0.25">
      <c r="A9" t="s">
        <v>17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2857.14</v>
      </c>
      <c r="I9">
        <v>2857.14</v>
      </c>
      <c r="J9">
        <v>1428.57</v>
      </c>
    </row>
    <row r="10" spans="1:16" x14ac:dyDescent="0.25">
      <c r="A10" t="s">
        <v>18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2857.14</v>
      </c>
      <c r="I10">
        <v>2857.14</v>
      </c>
      <c r="J10">
        <v>1428.57</v>
      </c>
    </row>
    <row r="11" spans="1:16" x14ac:dyDescent="0.25">
      <c r="A11" t="s">
        <v>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2857.14</v>
      </c>
      <c r="I11">
        <v>2857.14</v>
      </c>
      <c r="J11">
        <v>1428.57</v>
      </c>
    </row>
    <row r="12" spans="1:16" x14ac:dyDescent="0.25">
      <c r="A12" t="s">
        <v>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2857.14</v>
      </c>
      <c r="I12">
        <v>2857.14</v>
      </c>
      <c r="J12">
        <v>1428.57</v>
      </c>
    </row>
    <row r="13" spans="1:16" x14ac:dyDescent="0.2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2857.14</v>
      </c>
      <c r="I13">
        <v>2857.14</v>
      </c>
      <c r="J13">
        <v>1428.57</v>
      </c>
    </row>
    <row r="14" spans="1:16" x14ac:dyDescent="0.25">
      <c r="A14" t="s">
        <v>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2857.14</v>
      </c>
      <c r="I14">
        <v>2857.14</v>
      </c>
      <c r="J14">
        <v>1428.57</v>
      </c>
    </row>
    <row r="15" spans="1:16" x14ac:dyDescent="0.25">
      <c r="A15" t="s">
        <v>21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2857.14</v>
      </c>
      <c r="I15">
        <v>2857.14</v>
      </c>
      <c r="J15">
        <v>1428.57</v>
      </c>
    </row>
    <row r="18" spans="1:10" x14ac:dyDescent="0.25">
      <c r="A18" s="1" t="s">
        <v>24</v>
      </c>
      <c r="B18">
        <f>SUM(B8:B16)</f>
        <v>0</v>
      </c>
      <c r="C18">
        <f>SUM(C8:C16)</f>
        <v>0</v>
      </c>
      <c r="D18">
        <f>SUM(D8:D16)</f>
        <v>0</v>
      </c>
      <c r="E18">
        <f>SUM(E8:E16)</f>
        <v>0</v>
      </c>
      <c r="F18">
        <f>SUM(F8:F16)</f>
        <v>0</v>
      </c>
      <c r="G18">
        <f>SUM(G8:G16)</f>
        <v>0</v>
      </c>
      <c r="H18">
        <f>SUM(H8:H16)</f>
        <v>19999.98</v>
      </c>
      <c r="I18">
        <f>SUM(I8:I16)</f>
        <v>19999.98</v>
      </c>
      <c r="J18">
        <f>SUM(J8:J16)</f>
        <v>9999.99</v>
      </c>
    </row>
    <row r="20" spans="1:10" x14ac:dyDescent="0.25">
      <c r="A20" s="1" t="s">
        <v>27</v>
      </c>
      <c r="B20">
        <f>B5-B18</f>
        <v>0</v>
      </c>
      <c r="C20">
        <f>C5-C18</f>
        <v>0</v>
      </c>
      <c r="D20">
        <f>D5-D18</f>
        <v>0</v>
      </c>
      <c r="E20">
        <f>E5-E18</f>
        <v>0</v>
      </c>
      <c r="F20">
        <f>F5-F18</f>
        <v>0</v>
      </c>
      <c r="G20">
        <f>G5-G18</f>
        <v>0</v>
      </c>
      <c r="H20">
        <f>H5-H18</f>
        <v>2.0000000000436557E-2</v>
      </c>
      <c r="I20">
        <f>I5-I18</f>
        <v>2.0000000000436557E-2</v>
      </c>
      <c r="J20">
        <f>J5-J18</f>
        <v>1.0000000000218279E-2</v>
      </c>
    </row>
    <row r="22" spans="1:10" x14ac:dyDescent="0.25">
      <c r="A22" s="1" t="s">
        <v>28</v>
      </c>
      <c r="B22">
        <f>B20</f>
        <v>0</v>
      </c>
      <c r="C22">
        <f>B22+C20</f>
        <v>0</v>
      </c>
      <c r="D22">
        <f t="shared" ref="D22:S22" si="0">C22+D20</f>
        <v>0</v>
      </c>
      <c r="E22">
        <f t="shared" si="0"/>
        <v>0</v>
      </c>
      <c r="F22">
        <f t="shared" si="0"/>
        <v>0</v>
      </c>
      <c r="G22">
        <f t="shared" si="0"/>
        <v>0</v>
      </c>
      <c r="H22">
        <f t="shared" si="0"/>
        <v>2.0000000000436557E-2</v>
      </c>
      <c r="I22">
        <f t="shared" si="0"/>
        <v>4.0000000000873115E-2</v>
      </c>
      <c r="J22">
        <f t="shared" si="0"/>
        <v>5.0000000001091394E-2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Publisher Max Sales</vt:lpstr>
      <vt:lpstr>Publisher Min Sales</vt:lpstr>
      <vt:lpstr>Self-Publishing</vt:lpstr>
    </vt:vector>
  </TitlesOfParts>
  <Company>FXPlus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CLARKE</dc:creator>
  <cp:lastModifiedBy>RYAN CLARKE</cp:lastModifiedBy>
  <dcterms:created xsi:type="dcterms:W3CDTF">2019-03-04T12:20:55Z</dcterms:created>
  <dcterms:modified xsi:type="dcterms:W3CDTF">2019-03-04T15:02:01Z</dcterms:modified>
</cp:coreProperties>
</file>