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MarketEvaluation\"/>
    </mc:Choice>
  </mc:AlternateContent>
  <bookViews>
    <workbookView xWindow="0" yWindow="0" windowWidth="28800" windowHeight="12300" firstSheet="4" activeTab="5"/>
  </bookViews>
  <sheets>
    <sheet name="Publisher Max Sales" sheetId="1" r:id="rId1"/>
    <sheet name="Publisher Min Sales" sheetId="2" r:id="rId2"/>
    <sheet name="Self-Publishing" sheetId="3" r:id="rId3"/>
    <sheet name="Self-Publishing Sales" sheetId="4" r:id="rId4"/>
    <sheet name="Publishing Sales" sheetId="5" r:id="rId5"/>
    <sheet name="Self-Publishing Dev" sheetId="6" r:id="rId6"/>
    <sheet name="Publishing Dev" sheetId="7" r:id="rId7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7" i="4" l="1"/>
  <c r="E17" i="4" s="1"/>
  <c r="F17" i="4" s="1"/>
  <c r="C17" i="4"/>
  <c r="B17" i="4"/>
  <c r="C15" i="4"/>
  <c r="D15" i="4"/>
  <c r="E15" i="4"/>
  <c r="F15" i="4"/>
  <c r="B15" i="4"/>
  <c r="C13" i="4"/>
  <c r="D13" i="4"/>
  <c r="E13" i="4"/>
  <c r="F13" i="4"/>
  <c r="B13" i="4"/>
  <c r="C11" i="4"/>
  <c r="D11" i="4"/>
  <c r="B11" i="4"/>
  <c r="C8" i="4"/>
  <c r="D8" i="4"/>
  <c r="E8" i="4"/>
  <c r="F8" i="4"/>
  <c r="B8" i="4"/>
  <c r="C6" i="4"/>
  <c r="D6" i="4"/>
  <c r="E6" i="4"/>
  <c r="F6" i="4"/>
  <c r="B6" i="4"/>
  <c r="I17" i="3"/>
  <c r="I10" i="3" s="1"/>
  <c r="J17" i="3"/>
  <c r="J10" i="3" s="1"/>
  <c r="J9" i="3"/>
  <c r="K9" i="3"/>
  <c r="L9" i="3"/>
  <c r="K10" i="3"/>
  <c r="K19" i="3" s="1"/>
  <c r="K21" i="3" s="1"/>
  <c r="L10" i="3"/>
  <c r="L19" i="3" s="1"/>
  <c r="L21" i="3" s="1"/>
  <c r="J11" i="3"/>
  <c r="K11" i="3"/>
  <c r="L11" i="3"/>
  <c r="K12" i="3"/>
  <c r="L12" i="3"/>
  <c r="I13" i="3"/>
  <c r="J13" i="3"/>
  <c r="K13" i="3"/>
  <c r="L13" i="3"/>
  <c r="K14" i="3"/>
  <c r="L14" i="3"/>
  <c r="I15" i="3"/>
  <c r="J15" i="3"/>
  <c r="K15" i="3"/>
  <c r="L15" i="3"/>
  <c r="H10" i="3"/>
  <c r="H11" i="3"/>
  <c r="H12" i="3"/>
  <c r="H13" i="3"/>
  <c r="H14" i="3"/>
  <c r="H15" i="3"/>
  <c r="H9" i="3"/>
  <c r="H17" i="3"/>
  <c r="K5" i="3"/>
  <c r="L5" i="3"/>
  <c r="J14" i="3" l="1"/>
  <c r="J12" i="3"/>
  <c r="I11" i="3"/>
  <c r="I9" i="3"/>
  <c r="I12" i="3"/>
  <c r="I14" i="3"/>
  <c r="B26" i="1"/>
  <c r="G19" i="3" l="1"/>
  <c r="F19" i="3"/>
  <c r="E19" i="3"/>
  <c r="D19" i="3"/>
  <c r="C19" i="3"/>
  <c r="B19" i="3"/>
  <c r="J5" i="3"/>
  <c r="I5" i="3"/>
  <c r="H5" i="3"/>
  <c r="G5" i="3"/>
  <c r="F5" i="3"/>
  <c r="F21" i="3" s="1"/>
  <c r="E5" i="3"/>
  <c r="D5" i="3"/>
  <c r="C5" i="3"/>
  <c r="B5" i="3"/>
  <c r="J24" i="2"/>
  <c r="I24" i="2"/>
  <c r="H24" i="2"/>
  <c r="G24" i="2"/>
  <c r="F24" i="2"/>
  <c r="E24" i="2"/>
  <c r="D24" i="2"/>
  <c r="C24" i="2"/>
  <c r="C26" i="2" s="1"/>
  <c r="B24" i="2"/>
  <c r="B26" i="2" s="1"/>
  <c r="B28" i="2" s="1"/>
  <c r="J7" i="2"/>
  <c r="I7" i="2"/>
  <c r="H7" i="2"/>
  <c r="G7" i="2"/>
  <c r="F7" i="2"/>
  <c r="E7" i="2"/>
  <c r="E26" i="2" s="1"/>
  <c r="D7" i="2"/>
  <c r="D26" i="2" s="1"/>
  <c r="C7" i="2"/>
  <c r="B7" i="2"/>
  <c r="Q24" i="1"/>
  <c r="R24" i="1"/>
  <c r="S24" i="1"/>
  <c r="S26" i="1" s="1"/>
  <c r="Q7" i="1"/>
  <c r="R7" i="1"/>
  <c r="S7" i="1"/>
  <c r="N24" i="1"/>
  <c r="N26" i="1" s="1"/>
  <c r="O24" i="1"/>
  <c r="P24" i="1"/>
  <c r="N7" i="1"/>
  <c r="O7" i="1"/>
  <c r="P7" i="1"/>
  <c r="F26" i="2" l="1"/>
  <c r="G26" i="2"/>
  <c r="Q26" i="1"/>
  <c r="J26" i="2"/>
  <c r="I26" i="2"/>
  <c r="R26" i="1"/>
  <c r="G21" i="3"/>
  <c r="B21" i="3"/>
  <c r="B23" i="3" s="1"/>
  <c r="D21" i="3"/>
  <c r="C21" i="3"/>
  <c r="E21" i="3"/>
  <c r="H26" i="2"/>
  <c r="C28" i="2"/>
  <c r="D28" i="2" s="1"/>
  <c r="E28" i="2" s="1"/>
  <c r="F28" i="2" s="1"/>
  <c r="G28" i="2" s="1"/>
  <c r="P26" i="1"/>
  <c r="O26" i="1"/>
  <c r="I19" i="3" l="1"/>
  <c r="I21" i="3" s="1"/>
  <c r="J19" i="3"/>
  <c r="J21" i="3" s="1"/>
  <c r="C23" i="3"/>
  <c r="D23" i="3"/>
  <c r="E23" i="3" s="1"/>
  <c r="F23" i="3" s="1"/>
  <c r="G23" i="3" s="1"/>
  <c r="H28" i="2"/>
  <c r="I28" i="2" s="1"/>
  <c r="J28" i="2" s="1"/>
  <c r="M24" i="1" l="1"/>
  <c r="C24" i="1"/>
  <c r="D24" i="1"/>
  <c r="E24" i="1"/>
  <c r="E26" i="1" s="1"/>
  <c r="F24" i="1"/>
  <c r="G24" i="1"/>
  <c r="H24" i="1"/>
  <c r="I24" i="1"/>
  <c r="J24" i="1"/>
  <c r="K24" i="1"/>
  <c r="L24" i="1"/>
  <c r="B24" i="1"/>
  <c r="K7" i="1"/>
  <c r="L7" i="1"/>
  <c r="M7" i="1"/>
  <c r="C7" i="1"/>
  <c r="D7" i="1"/>
  <c r="E7" i="1"/>
  <c r="F7" i="1"/>
  <c r="G7" i="1"/>
  <c r="H7" i="1"/>
  <c r="I7" i="1"/>
  <c r="J7" i="1"/>
  <c r="B7" i="1"/>
  <c r="C26" i="1" l="1"/>
  <c r="G26" i="1"/>
  <c r="B28" i="1"/>
  <c r="I26" i="1"/>
  <c r="H26" i="1"/>
  <c r="F26" i="1"/>
  <c r="L26" i="1"/>
  <c r="K26" i="1"/>
  <c r="D26" i="1"/>
  <c r="J26" i="1"/>
  <c r="M26" i="1"/>
  <c r="C28" i="1" l="1"/>
  <c r="D28" i="1" s="1"/>
  <c r="E28" i="1" s="1"/>
  <c r="F28" i="1" s="1"/>
  <c r="G28" i="1" s="1"/>
  <c r="H28" i="1" s="1"/>
  <c r="I28" i="1" s="1"/>
  <c r="J28" i="1" s="1"/>
  <c r="K28" i="1" s="1"/>
  <c r="L28" i="1" s="1"/>
  <c r="M28" i="1" s="1"/>
  <c r="N28" i="1" s="1"/>
  <c r="O28" i="1" s="1"/>
  <c r="P28" i="1" s="1"/>
  <c r="Q28" i="1" s="1"/>
  <c r="R28" i="1" s="1"/>
  <c r="S28" i="1" s="1"/>
  <c r="H19" i="3"/>
  <c r="H21" i="3" s="1"/>
  <c r="H23" i="3" s="1"/>
  <c r="I23" i="3" s="1"/>
  <c r="J23" i="3" s="1"/>
  <c r="K23" i="3" s="1"/>
  <c r="L23" i="3" s="1"/>
</calcChain>
</file>

<file path=xl/sharedStrings.xml><?xml version="1.0" encoding="utf-8"?>
<sst xmlns="http://schemas.openxmlformats.org/spreadsheetml/2006/main" count="128" uniqueCount="65">
  <si>
    <t>Revenues</t>
  </si>
  <si>
    <t>Dev Investment</t>
  </si>
  <si>
    <t>Marketing Investment</t>
  </si>
  <si>
    <t>Month-1</t>
  </si>
  <si>
    <t>Month-2</t>
  </si>
  <si>
    <t>Month-3</t>
  </si>
  <si>
    <t>Month-4</t>
  </si>
  <si>
    <t>Month-5</t>
  </si>
  <si>
    <t>Month-6</t>
  </si>
  <si>
    <t>Month-7</t>
  </si>
  <si>
    <t>Month-8</t>
  </si>
  <si>
    <t>Month-9</t>
  </si>
  <si>
    <t>Month-10</t>
  </si>
  <si>
    <t>Month-11</t>
  </si>
  <si>
    <t>Month-12</t>
  </si>
  <si>
    <t>Outgoings</t>
  </si>
  <si>
    <t>Sales Net</t>
  </si>
  <si>
    <t>Programmer 1</t>
  </si>
  <si>
    <t>Programmer 2</t>
  </si>
  <si>
    <t>Designer 1</t>
  </si>
  <si>
    <t>Artist 1</t>
  </si>
  <si>
    <t>Animator 1</t>
  </si>
  <si>
    <t>Artist 2</t>
  </si>
  <si>
    <t>Artist 3</t>
  </si>
  <si>
    <t>Total</t>
  </si>
  <si>
    <t>Investment Recoup</t>
  </si>
  <si>
    <t>Revenue Split</t>
  </si>
  <si>
    <t>Period Profit</t>
  </si>
  <si>
    <t>Retained</t>
  </si>
  <si>
    <t>Marketing</t>
  </si>
  <si>
    <t>Month-13</t>
  </si>
  <si>
    <t>Month-14</t>
  </si>
  <si>
    <t>Month-15</t>
  </si>
  <si>
    <t>Office Space</t>
  </si>
  <si>
    <t>Month-16</t>
  </si>
  <si>
    <t>Month-17</t>
  </si>
  <si>
    <t>Month-18</t>
  </si>
  <si>
    <t>Prototyping new IP</t>
  </si>
  <si>
    <t>Finishing dev</t>
  </si>
  <si>
    <t>Console ports</t>
  </si>
  <si>
    <t>Net sales</t>
  </si>
  <si>
    <t>Net Sales</t>
  </si>
  <si>
    <t>Prototyping new IP?</t>
  </si>
  <si>
    <t>Month 1</t>
  </si>
  <si>
    <t>Income</t>
  </si>
  <si>
    <t>Itch.io</t>
  </si>
  <si>
    <t>units</t>
  </si>
  <si>
    <t>NET</t>
  </si>
  <si>
    <t>Rev.(£)</t>
  </si>
  <si>
    <t>Total Income</t>
  </si>
  <si>
    <t>Outgoing</t>
  </si>
  <si>
    <t>Advertising</t>
  </si>
  <si>
    <t>Total Outgoing</t>
  </si>
  <si>
    <t>Monthly Profit</t>
  </si>
  <si>
    <t>Profit B/F (£)</t>
  </si>
  <si>
    <t>Month 2</t>
  </si>
  <si>
    <t>Month 3</t>
  </si>
  <si>
    <t>Month 4</t>
  </si>
  <si>
    <t>Month 5</t>
  </si>
  <si>
    <t>Month 6</t>
  </si>
  <si>
    <t>Development</t>
  </si>
  <si>
    <t>Testing</t>
  </si>
  <si>
    <t>Beta Testing</t>
  </si>
  <si>
    <t>Bug Fixing</t>
  </si>
  <si>
    <t>Sign 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</si>
</sst>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0" fillId="0" borderId="0" xfId="0" applyFill="1"/>
    <xf numFmtId="0" fontId="0" fillId="2" borderId="0" xfId="0" applyFill="1"/>
    <xf numFmtId="0" fontId="0" fillId="3" borderId="0" xfId="0" applyFill="1"/>
    <xf numFmtId="2" fontId="0" fillId="0" borderId="0" xfId="0" applyNumberFormat="1"/>
    <xf numFmtId="0" fontId="1" fillId="4" borderId="0" xfId="0" applyFont="1" applyFill="1"/>
    <xf numFmtId="0" fontId="0" fillId="4" borderId="0" xfId="0" applyFill="1"/>
    <xf numFmtId="0" fontId="1" fillId="3" borderId="0" xfId="0" applyFont="1" applyFill="1"/>
    <xf numFmtId="0" fontId="0" fillId="0" borderId="1" xfId="0" applyBorder="1"/>
    <xf numFmtId="0" fontId="1" fillId="0" borderId="1" xfId="0" applyFont="1" applyBorder="1"/>
    <xf numFmtId="0" fontId="0" fillId="5" borderId="1" xfId="0" applyFill="1" applyBorder="1"/>
    <xf numFmtId="0" fontId="0" fillId="6" borderId="1" xfId="0" applyFill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8"/>
  <sheetViews>
    <sheetView workbookViewId="0">
      <pane xSplit="1" topLeftCell="B1" activePane="topRight" state="frozen"/>
      <selection pane="topRight" activeCell="H20" sqref="H20"/>
    </sheetView>
  </sheetViews>
  <sheetFormatPr defaultRowHeight="15" x14ac:dyDescent="0.25"/>
  <cols>
    <col min="1" max="1" width="21.140625" customWidth="1"/>
    <col min="2" max="2" width="11.42578125" customWidth="1"/>
  </cols>
  <sheetData>
    <row r="1" spans="1:19" x14ac:dyDescent="0.25"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  <c r="N1" t="s">
        <v>30</v>
      </c>
      <c r="O1" t="s">
        <v>31</v>
      </c>
      <c r="P1" t="s">
        <v>32</v>
      </c>
      <c r="Q1" t="s">
        <v>34</v>
      </c>
      <c r="R1" t="s">
        <v>35</v>
      </c>
      <c r="S1" t="s">
        <v>36</v>
      </c>
    </row>
    <row r="2" spans="1:19" x14ac:dyDescent="0.25">
      <c r="A2" s="1" t="s">
        <v>0</v>
      </c>
    </row>
    <row r="3" spans="1:19" x14ac:dyDescent="0.25">
      <c r="A3" t="s">
        <v>1</v>
      </c>
      <c r="B3">
        <v>100000</v>
      </c>
      <c r="K3">
        <v>50000</v>
      </c>
    </row>
    <row r="4" spans="1:19" x14ac:dyDescent="0.25">
      <c r="A4" t="s">
        <v>2</v>
      </c>
      <c r="B4">
        <v>50000</v>
      </c>
      <c r="P4">
        <v>150000</v>
      </c>
    </row>
    <row r="5" spans="1:19" x14ac:dyDescent="0.25">
      <c r="A5" t="s">
        <v>40</v>
      </c>
      <c r="H5">
        <v>150000</v>
      </c>
      <c r="I5">
        <v>150000</v>
      </c>
      <c r="J5">
        <v>75000</v>
      </c>
      <c r="Q5">
        <v>100000</v>
      </c>
      <c r="R5">
        <v>100000</v>
      </c>
      <c r="S5">
        <v>100000</v>
      </c>
    </row>
    <row r="7" spans="1:19" x14ac:dyDescent="0.25">
      <c r="A7" s="1" t="s">
        <v>24</v>
      </c>
      <c r="B7">
        <f>SUM(B3:B5)</f>
        <v>150000</v>
      </c>
      <c r="C7">
        <f t="shared" ref="C7:S7" si="0">SUM(C3:C5)</f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>SUM(H3:H5)</f>
        <v>150000</v>
      </c>
      <c r="I7">
        <f>SUM(I3:I5)</f>
        <v>150000</v>
      </c>
      <c r="J7">
        <f>SUM(J3:J5)</f>
        <v>75000</v>
      </c>
      <c r="K7">
        <f>SUM(K3:K5)</f>
        <v>50000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150000</v>
      </c>
      <c r="Q7">
        <f t="shared" si="0"/>
        <v>100000</v>
      </c>
      <c r="R7">
        <f t="shared" si="0"/>
        <v>100000</v>
      </c>
      <c r="S7">
        <f t="shared" si="0"/>
        <v>100000</v>
      </c>
    </row>
    <row r="9" spans="1:19" x14ac:dyDescent="0.25">
      <c r="A9" s="1" t="s">
        <v>15</v>
      </c>
    </row>
    <row r="10" spans="1:19" x14ac:dyDescent="0.25">
      <c r="A10" t="s">
        <v>33</v>
      </c>
      <c r="B10">
        <v>1200</v>
      </c>
      <c r="C10">
        <v>1200</v>
      </c>
      <c r="D10">
        <v>1200</v>
      </c>
      <c r="E10">
        <v>1200</v>
      </c>
      <c r="F10">
        <v>1200</v>
      </c>
      <c r="G10">
        <v>1200</v>
      </c>
      <c r="H10">
        <v>1200</v>
      </c>
      <c r="I10">
        <v>1200</v>
      </c>
      <c r="J10">
        <v>1200</v>
      </c>
      <c r="K10">
        <v>1200</v>
      </c>
      <c r="L10">
        <v>1200</v>
      </c>
      <c r="M10">
        <v>1200</v>
      </c>
      <c r="N10">
        <v>1200</v>
      </c>
      <c r="O10">
        <v>1200</v>
      </c>
      <c r="P10">
        <v>1200</v>
      </c>
    </row>
    <row r="11" spans="1:19" x14ac:dyDescent="0.25">
      <c r="B11" s="4" t="s">
        <v>38</v>
      </c>
      <c r="C11" s="4"/>
      <c r="D11" s="4"/>
      <c r="E11" s="4"/>
      <c r="F11" s="4"/>
      <c r="G11" s="4"/>
      <c r="H11" s="3" t="s">
        <v>37</v>
      </c>
      <c r="I11" s="3"/>
      <c r="J11" s="3"/>
      <c r="K11" s="4" t="s">
        <v>39</v>
      </c>
      <c r="L11" s="4"/>
      <c r="M11" s="4"/>
      <c r="N11" s="4"/>
      <c r="O11" s="4"/>
      <c r="P11" s="4"/>
    </row>
    <row r="12" spans="1:19" x14ac:dyDescent="0.25">
      <c r="A12" t="s">
        <v>17</v>
      </c>
      <c r="B12">
        <v>2000</v>
      </c>
      <c r="C12">
        <v>2000</v>
      </c>
      <c r="D12">
        <v>2000</v>
      </c>
      <c r="E12">
        <v>2000</v>
      </c>
      <c r="F12">
        <v>2000</v>
      </c>
      <c r="G12">
        <v>2000</v>
      </c>
      <c r="H12">
        <v>2000</v>
      </c>
      <c r="I12">
        <v>2000</v>
      </c>
      <c r="J12">
        <v>2000</v>
      </c>
      <c r="K12">
        <v>2000</v>
      </c>
      <c r="L12">
        <v>2000</v>
      </c>
      <c r="M12">
        <v>2000</v>
      </c>
      <c r="N12">
        <v>2000</v>
      </c>
      <c r="O12">
        <v>2000</v>
      </c>
      <c r="P12">
        <v>2000</v>
      </c>
    </row>
    <row r="13" spans="1:19" x14ac:dyDescent="0.25">
      <c r="A13" t="s">
        <v>18</v>
      </c>
      <c r="B13">
        <v>2000</v>
      </c>
      <c r="C13">
        <v>2000</v>
      </c>
      <c r="D13">
        <v>2000</v>
      </c>
      <c r="E13">
        <v>2000</v>
      </c>
      <c r="F13">
        <v>2000</v>
      </c>
      <c r="G13">
        <v>2000</v>
      </c>
      <c r="H13">
        <v>2000</v>
      </c>
      <c r="I13">
        <v>2000</v>
      </c>
      <c r="J13">
        <v>2000</v>
      </c>
      <c r="K13">
        <v>2000</v>
      </c>
      <c r="L13">
        <v>2000</v>
      </c>
      <c r="M13">
        <v>2000</v>
      </c>
      <c r="N13">
        <v>2000</v>
      </c>
      <c r="O13">
        <v>2000</v>
      </c>
      <c r="P13">
        <v>2000</v>
      </c>
    </row>
    <row r="14" spans="1:19" x14ac:dyDescent="0.25">
      <c r="A14" t="s">
        <v>19</v>
      </c>
      <c r="B14">
        <v>2000</v>
      </c>
      <c r="C14">
        <v>2000</v>
      </c>
      <c r="D14">
        <v>2000</v>
      </c>
      <c r="E14">
        <v>2000</v>
      </c>
      <c r="F14">
        <v>2000</v>
      </c>
      <c r="G14">
        <v>2000</v>
      </c>
      <c r="H14">
        <v>2000</v>
      </c>
      <c r="I14">
        <v>2000</v>
      </c>
      <c r="J14">
        <v>2000</v>
      </c>
      <c r="K14">
        <v>2000</v>
      </c>
      <c r="L14">
        <v>2000</v>
      </c>
      <c r="M14">
        <v>2000</v>
      </c>
      <c r="N14">
        <v>2000</v>
      </c>
      <c r="O14">
        <v>2000</v>
      </c>
      <c r="P14">
        <v>2000</v>
      </c>
    </row>
    <row r="15" spans="1:19" x14ac:dyDescent="0.25">
      <c r="A15" t="s">
        <v>20</v>
      </c>
      <c r="B15">
        <v>2000</v>
      </c>
      <c r="C15">
        <v>2000</v>
      </c>
      <c r="D15">
        <v>2000</v>
      </c>
      <c r="E15">
        <v>2000</v>
      </c>
      <c r="F15">
        <v>2000</v>
      </c>
      <c r="G15">
        <v>2000</v>
      </c>
    </row>
    <row r="16" spans="1:19" x14ac:dyDescent="0.25">
      <c r="A16" t="s">
        <v>22</v>
      </c>
      <c r="B16">
        <v>2000</v>
      </c>
      <c r="C16">
        <v>2000</v>
      </c>
      <c r="D16">
        <v>2000</v>
      </c>
      <c r="E16">
        <v>2000</v>
      </c>
      <c r="F16">
        <v>2000</v>
      </c>
      <c r="G16">
        <v>2000</v>
      </c>
    </row>
    <row r="17" spans="1:19" x14ac:dyDescent="0.25">
      <c r="A17" t="s">
        <v>23</v>
      </c>
      <c r="B17">
        <v>2000</v>
      </c>
      <c r="C17">
        <v>2000</v>
      </c>
      <c r="D17">
        <v>2000</v>
      </c>
      <c r="E17">
        <v>2000</v>
      </c>
      <c r="F17">
        <v>2000</v>
      </c>
      <c r="G17">
        <v>2000</v>
      </c>
    </row>
    <row r="18" spans="1:19" x14ac:dyDescent="0.25">
      <c r="A18" t="s">
        <v>21</v>
      </c>
      <c r="B18">
        <v>2000</v>
      </c>
      <c r="C18">
        <v>2000</v>
      </c>
      <c r="D18">
        <v>2000</v>
      </c>
      <c r="E18">
        <v>2000</v>
      </c>
      <c r="F18">
        <v>2000</v>
      </c>
      <c r="G18">
        <v>2000</v>
      </c>
    </row>
    <row r="20" spans="1:19" x14ac:dyDescent="0.25">
      <c r="A20" t="s">
        <v>29</v>
      </c>
      <c r="F20">
        <v>10000</v>
      </c>
      <c r="G20">
        <v>20000</v>
      </c>
      <c r="H20">
        <v>20000</v>
      </c>
      <c r="P20">
        <v>50000</v>
      </c>
      <c r="Q20">
        <v>50000</v>
      </c>
      <c r="R20">
        <v>50000</v>
      </c>
    </row>
    <row r="21" spans="1:19" x14ac:dyDescent="0.25">
      <c r="A21" t="s">
        <v>25</v>
      </c>
      <c r="H21">
        <v>150000</v>
      </c>
      <c r="Q21">
        <v>100000</v>
      </c>
      <c r="R21">
        <v>100000</v>
      </c>
    </row>
    <row r="22" spans="1:19" x14ac:dyDescent="0.25">
      <c r="A22" t="s">
        <v>26</v>
      </c>
      <c r="I22">
        <v>75000</v>
      </c>
      <c r="J22">
        <v>37500</v>
      </c>
      <c r="S22">
        <v>50000</v>
      </c>
    </row>
    <row r="24" spans="1:19" x14ac:dyDescent="0.25">
      <c r="A24" s="1" t="s">
        <v>24</v>
      </c>
      <c r="B24">
        <f t="shared" ref="B24:M24" si="1">SUM(B10:B22)</f>
        <v>15200</v>
      </c>
      <c r="C24">
        <f t="shared" si="1"/>
        <v>15200</v>
      </c>
      <c r="D24">
        <f t="shared" si="1"/>
        <v>15200</v>
      </c>
      <c r="E24">
        <f t="shared" si="1"/>
        <v>15200</v>
      </c>
      <c r="F24">
        <f t="shared" si="1"/>
        <v>25200</v>
      </c>
      <c r="G24">
        <f t="shared" si="1"/>
        <v>35200</v>
      </c>
      <c r="H24">
        <f t="shared" si="1"/>
        <v>177200</v>
      </c>
      <c r="I24">
        <f t="shared" si="1"/>
        <v>82200</v>
      </c>
      <c r="J24">
        <f t="shared" si="1"/>
        <v>44700</v>
      </c>
      <c r="K24">
        <f t="shared" si="1"/>
        <v>7200</v>
      </c>
      <c r="L24">
        <f t="shared" si="1"/>
        <v>7200</v>
      </c>
      <c r="M24">
        <f t="shared" si="1"/>
        <v>7200</v>
      </c>
      <c r="N24">
        <f t="shared" ref="N24:S24" si="2">SUM(N10:N22)</f>
        <v>7200</v>
      </c>
      <c r="O24">
        <f t="shared" si="2"/>
        <v>7200</v>
      </c>
      <c r="P24">
        <f t="shared" si="2"/>
        <v>57200</v>
      </c>
      <c r="Q24">
        <f t="shared" si="2"/>
        <v>150000</v>
      </c>
      <c r="R24">
        <f t="shared" si="2"/>
        <v>150000</v>
      </c>
      <c r="S24">
        <f t="shared" si="2"/>
        <v>50000</v>
      </c>
    </row>
    <row r="26" spans="1:19" x14ac:dyDescent="0.25">
      <c r="A26" s="1" t="s">
        <v>27</v>
      </c>
      <c r="B26">
        <f>B7-B24</f>
        <v>134800</v>
      </c>
      <c r="C26">
        <f t="shared" ref="C26:M26" si="3">C7-C24</f>
        <v>-15200</v>
      </c>
      <c r="D26">
        <f t="shared" si="3"/>
        <v>-15200</v>
      </c>
      <c r="E26">
        <f t="shared" si="3"/>
        <v>-15200</v>
      </c>
      <c r="F26">
        <f t="shared" si="3"/>
        <v>-25200</v>
      </c>
      <c r="G26">
        <f t="shared" si="3"/>
        <v>-35200</v>
      </c>
      <c r="H26">
        <f t="shared" si="3"/>
        <v>-27200</v>
      </c>
      <c r="I26">
        <f t="shared" si="3"/>
        <v>67800</v>
      </c>
      <c r="J26">
        <f t="shared" si="3"/>
        <v>30300</v>
      </c>
      <c r="K26">
        <f t="shared" si="3"/>
        <v>42800</v>
      </c>
      <c r="L26">
        <f t="shared" si="3"/>
        <v>-7200</v>
      </c>
      <c r="M26">
        <f t="shared" si="3"/>
        <v>-7200</v>
      </c>
      <c r="N26">
        <f t="shared" ref="N26:S26" si="4">N7-N24</f>
        <v>-7200</v>
      </c>
      <c r="O26">
        <f t="shared" si="4"/>
        <v>-7200</v>
      </c>
      <c r="P26">
        <f t="shared" si="4"/>
        <v>92800</v>
      </c>
      <c r="Q26">
        <f t="shared" si="4"/>
        <v>-50000</v>
      </c>
      <c r="R26">
        <f t="shared" si="4"/>
        <v>-50000</v>
      </c>
      <c r="S26">
        <f t="shared" si="4"/>
        <v>50000</v>
      </c>
    </row>
    <row r="28" spans="1:19" x14ac:dyDescent="0.25">
      <c r="A28" s="1" t="s">
        <v>28</v>
      </c>
      <c r="B28">
        <f>B26</f>
        <v>134800</v>
      </c>
      <c r="C28">
        <f>B28+C26</f>
        <v>119600</v>
      </c>
      <c r="D28">
        <f t="shared" ref="D28:S28" si="5">C28+D26</f>
        <v>104400</v>
      </c>
      <c r="E28">
        <f t="shared" si="5"/>
        <v>89200</v>
      </c>
      <c r="F28">
        <f t="shared" si="5"/>
        <v>64000</v>
      </c>
      <c r="G28">
        <f t="shared" si="5"/>
        <v>28800</v>
      </c>
      <c r="H28">
        <f t="shared" si="5"/>
        <v>1600</v>
      </c>
      <c r="I28">
        <f t="shared" si="5"/>
        <v>69400</v>
      </c>
      <c r="J28">
        <f t="shared" si="5"/>
        <v>99700</v>
      </c>
      <c r="K28">
        <f t="shared" si="5"/>
        <v>142500</v>
      </c>
      <c r="L28">
        <f t="shared" si="5"/>
        <v>135300</v>
      </c>
      <c r="M28">
        <f t="shared" si="5"/>
        <v>128100</v>
      </c>
      <c r="N28">
        <f t="shared" si="5"/>
        <v>120900</v>
      </c>
      <c r="O28">
        <f t="shared" si="5"/>
        <v>113700</v>
      </c>
      <c r="P28">
        <f t="shared" si="5"/>
        <v>206500</v>
      </c>
      <c r="Q28">
        <f t="shared" si="5"/>
        <v>156500</v>
      </c>
      <c r="R28">
        <f t="shared" si="5"/>
        <v>106500</v>
      </c>
      <c r="S28">
        <f t="shared" si="5"/>
        <v>156500</v>
      </c>
    </row>
  </sheetData>
  <conditionalFormatting sqref="B26:S26">
    <cfRule type="cellIs" dxfId="3" priority="1" operator="lessThan">
      <formula>0</formula>
    </cfRule>
    <cfRule type="cellIs" dxfId="2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8"/>
  <sheetViews>
    <sheetView workbookViewId="0">
      <pane xSplit="1" topLeftCell="B1" activePane="topRight" state="frozen"/>
      <selection pane="topRight" activeCell="K17" sqref="K17"/>
    </sheetView>
  </sheetViews>
  <sheetFormatPr defaultRowHeight="15" x14ac:dyDescent="0.25"/>
  <cols>
    <col min="1" max="1" width="21.140625" customWidth="1"/>
    <col min="2" max="2" width="11.42578125" customWidth="1"/>
  </cols>
  <sheetData>
    <row r="1" spans="1:16" x14ac:dyDescent="0.25"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</row>
    <row r="2" spans="1:16" x14ac:dyDescent="0.25">
      <c r="A2" s="1" t="s">
        <v>0</v>
      </c>
    </row>
    <row r="3" spans="1:16" x14ac:dyDescent="0.25">
      <c r="A3" t="s">
        <v>1</v>
      </c>
      <c r="B3">
        <v>100000</v>
      </c>
    </row>
    <row r="4" spans="1:16" x14ac:dyDescent="0.25">
      <c r="A4" t="s">
        <v>2</v>
      </c>
      <c r="B4">
        <v>50000</v>
      </c>
    </row>
    <row r="5" spans="1:16" x14ac:dyDescent="0.25">
      <c r="A5" t="s">
        <v>41</v>
      </c>
      <c r="H5">
        <v>75000</v>
      </c>
      <c r="I5">
        <v>75000</v>
      </c>
      <c r="J5">
        <v>75000</v>
      </c>
    </row>
    <row r="7" spans="1:16" x14ac:dyDescent="0.25">
      <c r="A7" s="1" t="s">
        <v>24</v>
      </c>
      <c r="B7">
        <f>SUM(B3:B5)</f>
        <v>150000</v>
      </c>
      <c r="C7">
        <f t="shared" ref="C7:G7" si="0">SUM(C3:C5)</f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>SUM(H3:H5)</f>
        <v>75000</v>
      </c>
      <c r="I7">
        <f>SUM(I3:I5)</f>
        <v>75000</v>
      </c>
      <c r="J7">
        <f>SUM(J3:J5)</f>
        <v>75000</v>
      </c>
    </row>
    <row r="9" spans="1:16" x14ac:dyDescent="0.25">
      <c r="A9" s="1" t="s">
        <v>15</v>
      </c>
    </row>
    <row r="10" spans="1:16" x14ac:dyDescent="0.25">
      <c r="A10" t="s">
        <v>33</v>
      </c>
      <c r="B10">
        <v>1200</v>
      </c>
      <c r="C10">
        <v>1200</v>
      </c>
      <c r="D10">
        <v>1200</v>
      </c>
      <c r="E10">
        <v>1200</v>
      </c>
      <c r="F10">
        <v>1200</v>
      </c>
      <c r="G10">
        <v>1200</v>
      </c>
      <c r="H10">
        <v>1200</v>
      </c>
      <c r="I10">
        <v>1200</v>
      </c>
      <c r="J10">
        <v>1200</v>
      </c>
    </row>
    <row r="11" spans="1:16" x14ac:dyDescent="0.25">
      <c r="B11" s="4" t="s">
        <v>38</v>
      </c>
      <c r="C11" s="4"/>
      <c r="D11" s="4"/>
      <c r="E11" s="4"/>
      <c r="F11" s="4"/>
      <c r="G11" s="4"/>
      <c r="H11" s="3" t="s">
        <v>37</v>
      </c>
      <c r="I11" s="3"/>
      <c r="J11" s="3"/>
      <c r="K11" s="2"/>
      <c r="L11" s="2"/>
      <c r="M11" s="2"/>
      <c r="N11" s="2"/>
      <c r="O11" s="2"/>
      <c r="P11" s="2"/>
    </row>
    <row r="12" spans="1:16" x14ac:dyDescent="0.25">
      <c r="A12" t="s">
        <v>17</v>
      </c>
      <c r="B12">
        <v>2000</v>
      </c>
      <c r="C12">
        <v>2000</v>
      </c>
      <c r="D12">
        <v>2000</v>
      </c>
      <c r="E12">
        <v>2000</v>
      </c>
      <c r="F12">
        <v>2000</v>
      </c>
      <c r="G12">
        <v>2000</v>
      </c>
      <c r="H12">
        <v>2000</v>
      </c>
      <c r="I12">
        <v>2000</v>
      </c>
      <c r="J12">
        <v>2000</v>
      </c>
    </row>
    <row r="13" spans="1:16" x14ac:dyDescent="0.25">
      <c r="A13" t="s">
        <v>18</v>
      </c>
      <c r="B13">
        <v>2000</v>
      </c>
      <c r="C13">
        <v>2000</v>
      </c>
      <c r="D13">
        <v>2000</v>
      </c>
      <c r="E13">
        <v>2000</v>
      </c>
      <c r="F13">
        <v>2000</v>
      </c>
      <c r="G13">
        <v>2000</v>
      </c>
      <c r="H13">
        <v>2000</v>
      </c>
      <c r="I13">
        <v>2000</v>
      </c>
      <c r="J13">
        <v>2000</v>
      </c>
    </row>
    <row r="14" spans="1:16" x14ac:dyDescent="0.25">
      <c r="A14" t="s">
        <v>19</v>
      </c>
      <c r="B14">
        <v>2000</v>
      </c>
      <c r="C14">
        <v>2000</v>
      </c>
      <c r="D14">
        <v>2000</v>
      </c>
      <c r="E14">
        <v>2000</v>
      </c>
      <c r="F14">
        <v>2000</v>
      </c>
      <c r="G14">
        <v>2000</v>
      </c>
      <c r="H14">
        <v>2000</v>
      </c>
      <c r="I14">
        <v>2000</v>
      </c>
      <c r="J14">
        <v>2000</v>
      </c>
    </row>
    <row r="15" spans="1:16" x14ac:dyDescent="0.25">
      <c r="A15" t="s">
        <v>20</v>
      </c>
      <c r="B15">
        <v>2000</v>
      </c>
      <c r="C15">
        <v>2000</v>
      </c>
      <c r="D15">
        <v>2000</v>
      </c>
      <c r="E15">
        <v>2000</v>
      </c>
      <c r="F15">
        <v>2000</v>
      </c>
      <c r="G15">
        <v>2000</v>
      </c>
    </row>
    <row r="16" spans="1:16" x14ac:dyDescent="0.25">
      <c r="A16" t="s">
        <v>22</v>
      </c>
      <c r="B16">
        <v>2000</v>
      </c>
      <c r="C16">
        <v>2000</v>
      </c>
      <c r="D16">
        <v>2000</v>
      </c>
      <c r="E16">
        <v>2000</v>
      </c>
      <c r="F16">
        <v>2000</v>
      </c>
      <c r="G16">
        <v>2000</v>
      </c>
    </row>
    <row r="17" spans="1:10" x14ac:dyDescent="0.25">
      <c r="A17" t="s">
        <v>23</v>
      </c>
      <c r="B17">
        <v>2000</v>
      </c>
      <c r="C17">
        <v>2000</v>
      </c>
      <c r="D17">
        <v>2000</v>
      </c>
      <c r="E17">
        <v>2000</v>
      </c>
    </row>
    <row r="18" spans="1:10" x14ac:dyDescent="0.25">
      <c r="A18" t="s">
        <v>21</v>
      </c>
      <c r="B18">
        <v>2000</v>
      </c>
      <c r="C18">
        <v>2000</v>
      </c>
      <c r="D18">
        <v>2000</v>
      </c>
      <c r="E18">
        <v>2000</v>
      </c>
      <c r="F18">
        <v>2000</v>
      </c>
    </row>
    <row r="20" spans="1:10" x14ac:dyDescent="0.25">
      <c r="A20" t="s">
        <v>29</v>
      </c>
      <c r="F20">
        <v>10000</v>
      </c>
      <c r="G20">
        <v>20000</v>
      </c>
      <c r="H20">
        <v>20000</v>
      </c>
    </row>
    <row r="21" spans="1:10" x14ac:dyDescent="0.25">
      <c r="A21" t="s">
        <v>25</v>
      </c>
      <c r="H21">
        <v>75000</v>
      </c>
      <c r="I21">
        <v>75000</v>
      </c>
    </row>
    <row r="22" spans="1:10" x14ac:dyDescent="0.25">
      <c r="A22" t="s">
        <v>26</v>
      </c>
      <c r="J22">
        <v>37500</v>
      </c>
    </row>
    <row r="24" spans="1:10" x14ac:dyDescent="0.25">
      <c r="A24" s="1" t="s">
        <v>24</v>
      </c>
      <c r="B24">
        <f t="shared" ref="B24:J24" si="1">SUM(B10:B22)</f>
        <v>15200</v>
      </c>
      <c r="C24">
        <f t="shared" si="1"/>
        <v>15200</v>
      </c>
      <c r="D24">
        <f t="shared" si="1"/>
        <v>15200</v>
      </c>
      <c r="E24">
        <f t="shared" si="1"/>
        <v>15200</v>
      </c>
      <c r="F24">
        <f t="shared" si="1"/>
        <v>23200</v>
      </c>
      <c r="G24">
        <f t="shared" si="1"/>
        <v>31200</v>
      </c>
      <c r="H24">
        <f t="shared" si="1"/>
        <v>102200</v>
      </c>
      <c r="I24">
        <f t="shared" si="1"/>
        <v>82200</v>
      </c>
      <c r="J24">
        <f t="shared" si="1"/>
        <v>44700</v>
      </c>
    </row>
    <row r="26" spans="1:10" x14ac:dyDescent="0.25">
      <c r="A26" s="1" t="s">
        <v>27</v>
      </c>
      <c r="B26">
        <f t="shared" ref="B26:J26" si="2">B7-B24</f>
        <v>134800</v>
      </c>
      <c r="C26">
        <f t="shared" si="2"/>
        <v>-15200</v>
      </c>
      <c r="D26">
        <f t="shared" si="2"/>
        <v>-15200</v>
      </c>
      <c r="E26">
        <f t="shared" si="2"/>
        <v>-15200</v>
      </c>
      <c r="F26">
        <f t="shared" si="2"/>
        <v>-23200</v>
      </c>
      <c r="G26">
        <f t="shared" si="2"/>
        <v>-31200</v>
      </c>
      <c r="H26">
        <f t="shared" si="2"/>
        <v>-27200</v>
      </c>
      <c r="I26">
        <f t="shared" si="2"/>
        <v>-7200</v>
      </c>
      <c r="J26">
        <f t="shared" si="2"/>
        <v>30300</v>
      </c>
    </row>
    <row r="28" spans="1:10" x14ac:dyDescent="0.25">
      <c r="A28" s="1" t="s">
        <v>28</v>
      </c>
      <c r="B28">
        <f>B26</f>
        <v>134800</v>
      </c>
      <c r="C28">
        <f>B28+C26</f>
        <v>119600</v>
      </c>
      <c r="D28">
        <f t="shared" ref="D28:J28" si="3">C28+D26</f>
        <v>104400</v>
      </c>
      <c r="E28">
        <f t="shared" si="3"/>
        <v>89200</v>
      </c>
      <c r="F28">
        <f t="shared" si="3"/>
        <v>66000</v>
      </c>
      <c r="G28">
        <f t="shared" si="3"/>
        <v>34800</v>
      </c>
      <c r="H28">
        <f t="shared" si="3"/>
        <v>7600</v>
      </c>
      <c r="I28">
        <f t="shared" si="3"/>
        <v>400</v>
      </c>
      <c r="J28">
        <f t="shared" si="3"/>
        <v>30700</v>
      </c>
    </row>
  </sheetData>
  <conditionalFormatting sqref="B26:J2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3"/>
  <sheetViews>
    <sheetView workbookViewId="0">
      <pane xSplit="1" topLeftCell="B1" activePane="topRight" state="frozen"/>
      <selection pane="topRight" activeCell="K26" sqref="K26"/>
    </sheetView>
  </sheetViews>
  <sheetFormatPr defaultRowHeight="15" x14ac:dyDescent="0.25"/>
  <cols>
    <col min="1" max="1" width="16.140625" customWidth="1"/>
    <col min="2" max="2" width="11.42578125" customWidth="1"/>
  </cols>
  <sheetData>
    <row r="1" spans="1:16" x14ac:dyDescent="0.25"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</row>
    <row r="2" spans="1:16" x14ac:dyDescent="0.25">
      <c r="A2" s="1" t="s">
        <v>0</v>
      </c>
    </row>
    <row r="3" spans="1:16" x14ac:dyDescent="0.25">
      <c r="A3" t="s">
        <v>16</v>
      </c>
      <c r="H3">
        <v>5000</v>
      </c>
      <c r="I3">
        <v>10000</v>
      </c>
      <c r="J3">
        <v>20000</v>
      </c>
      <c r="K3">
        <v>10000</v>
      </c>
      <c r="L3">
        <v>5000</v>
      </c>
    </row>
    <row r="5" spans="1:16" x14ac:dyDescent="0.25">
      <c r="A5" s="1" t="s">
        <v>24</v>
      </c>
      <c r="B5">
        <f t="shared" ref="B5:L5" si="0">SUM(B3:B3)</f>
        <v>0</v>
      </c>
      <c r="C5">
        <f t="shared" si="0"/>
        <v>0</v>
      </c>
      <c r="D5">
        <f t="shared" si="0"/>
        <v>0</v>
      </c>
      <c r="E5">
        <f t="shared" si="0"/>
        <v>0</v>
      </c>
      <c r="F5">
        <f t="shared" si="0"/>
        <v>0</v>
      </c>
      <c r="G5">
        <f t="shared" si="0"/>
        <v>0</v>
      </c>
      <c r="H5">
        <f t="shared" si="0"/>
        <v>5000</v>
      </c>
      <c r="I5">
        <f t="shared" si="0"/>
        <v>10000</v>
      </c>
      <c r="J5">
        <f t="shared" si="0"/>
        <v>20000</v>
      </c>
      <c r="K5">
        <f t="shared" si="0"/>
        <v>10000</v>
      </c>
      <c r="L5">
        <f t="shared" si="0"/>
        <v>5000</v>
      </c>
    </row>
    <row r="7" spans="1:16" x14ac:dyDescent="0.25">
      <c r="A7" s="1" t="s">
        <v>15</v>
      </c>
    </row>
    <row r="8" spans="1:16" x14ac:dyDescent="0.25">
      <c r="B8" s="4" t="s">
        <v>38</v>
      </c>
      <c r="C8" s="4"/>
      <c r="D8" s="4"/>
      <c r="E8" s="4"/>
      <c r="F8" s="4"/>
      <c r="G8" s="4"/>
      <c r="H8" s="3" t="s">
        <v>42</v>
      </c>
      <c r="I8" s="3"/>
      <c r="J8" s="3"/>
      <c r="K8" s="2"/>
      <c r="L8" s="2"/>
      <c r="M8" s="2"/>
      <c r="N8" s="2"/>
      <c r="O8" s="2"/>
      <c r="P8" s="2"/>
    </row>
    <row r="9" spans="1:16" x14ac:dyDescent="0.25">
      <c r="A9" t="s">
        <v>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 s="5">
        <f>(H5-H17)/7</f>
        <v>642.85714285714289</v>
      </c>
      <c r="I9" s="5">
        <f t="shared" ref="I9:L9" si="1">(I5-I17)/7</f>
        <v>1285.7142857142858</v>
      </c>
      <c r="J9" s="5">
        <f t="shared" si="1"/>
        <v>2571.4285714285716</v>
      </c>
      <c r="K9" s="5">
        <f t="shared" si="1"/>
        <v>1428.5714285714287</v>
      </c>
      <c r="L9" s="5">
        <f t="shared" si="1"/>
        <v>714.28571428571433</v>
      </c>
    </row>
    <row r="10" spans="1:16" x14ac:dyDescent="0.25">
      <c r="A10" t="s">
        <v>18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 s="5">
        <f>(H5-H17)/7</f>
        <v>642.85714285714289</v>
      </c>
      <c r="I10" s="5">
        <f t="shared" ref="I10:L10" si="2">(I5-I17)/7</f>
        <v>1285.7142857142858</v>
      </c>
      <c r="J10" s="5">
        <f t="shared" si="2"/>
        <v>2571.4285714285716</v>
      </c>
      <c r="K10" s="5">
        <f t="shared" si="2"/>
        <v>1428.5714285714287</v>
      </c>
      <c r="L10" s="5">
        <f t="shared" si="2"/>
        <v>714.28571428571433</v>
      </c>
    </row>
    <row r="11" spans="1:16" x14ac:dyDescent="0.25">
      <c r="A11" t="s">
        <v>19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 s="5">
        <f>(H5-H17)/7</f>
        <v>642.85714285714289</v>
      </c>
      <c r="I11" s="5">
        <f t="shared" ref="I11:L11" si="3">(I5-I17)/7</f>
        <v>1285.7142857142858</v>
      </c>
      <c r="J11" s="5">
        <f t="shared" si="3"/>
        <v>2571.4285714285716</v>
      </c>
      <c r="K11" s="5">
        <f t="shared" si="3"/>
        <v>1428.5714285714287</v>
      </c>
      <c r="L11" s="5">
        <f t="shared" si="3"/>
        <v>714.28571428571433</v>
      </c>
    </row>
    <row r="12" spans="1:16" x14ac:dyDescent="0.25">
      <c r="A12" t="s">
        <v>20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 s="5">
        <f>(H5-H17)/7</f>
        <v>642.85714285714289</v>
      </c>
      <c r="I12" s="5">
        <f t="shared" ref="I12:L12" si="4">(I5-I17)/7</f>
        <v>1285.7142857142858</v>
      </c>
      <c r="J12" s="5">
        <f t="shared" si="4"/>
        <v>2571.4285714285716</v>
      </c>
      <c r="K12" s="5">
        <f t="shared" si="4"/>
        <v>1428.5714285714287</v>
      </c>
      <c r="L12" s="5">
        <f t="shared" si="4"/>
        <v>714.28571428571433</v>
      </c>
    </row>
    <row r="13" spans="1:16" x14ac:dyDescent="0.25">
      <c r="A13" t="s">
        <v>22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 s="5">
        <f>(H5-H17)/7</f>
        <v>642.85714285714289</v>
      </c>
      <c r="I13" s="5">
        <f t="shared" ref="I13:L13" si="5">(I5-I17)/7</f>
        <v>1285.7142857142858</v>
      </c>
      <c r="J13" s="5">
        <f t="shared" si="5"/>
        <v>2571.4285714285716</v>
      </c>
      <c r="K13" s="5">
        <f t="shared" si="5"/>
        <v>1428.5714285714287</v>
      </c>
      <c r="L13" s="5">
        <f t="shared" si="5"/>
        <v>714.28571428571433</v>
      </c>
    </row>
    <row r="14" spans="1:16" x14ac:dyDescent="0.25">
      <c r="A14" t="s">
        <v>23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 s="5">
        <f>(H5-H17)/7</f>
        <v>642.85714285714289</v>
      </c>
      <c r="I14" s="5">
        <f t="shared" ref="I14:L14" si="6">(I5-I17)/7</f>
        <v>1285.7142857142858</v>
      </c>
      <c r="J14" s="5">
        <f t="shared" si="6"/>
        <v>2571.4285714285716</v>
      </c>
      <c r="K14" s="5">
        <f t="shared" si="6"/>
        <v>1428.5714285714287</v>
      </c>
      <c r="L14" s="5">
        <f t="shared" si="6"/>
        <v>714.28571428571433</v>
      </c>
    </row>
    <row r="15" spans="1:16" x14ac:dyDescent="0.25">
      <c r="A15" t="s">
        <v>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 s="5">
        <f>(H5-H17)/7</f>
        <v>642.85714285714289</v>
      </c>
      <c r="I15" s="5">
        <f t="shared" ref="I15:L15" si="7">(I5-I17)/7</f>
        <v>1285.7142857142858</v>
      </c>
      <c r="J15" s="5">
        <f t="shared" si="7"/>
        <v>2571.4285714285716</v>
      </c>
      <c r="K15" s="5">
        <f t="shared" si="7"/>
        <v>1428.5714285714287</v>
      </c>
      <c r="L15" s="5">
        <f t="shared" si="7"/>
        <v>714.28571428571433</v>
      </c>
    </row>
    <row r="17" spans="1:12" x14ac:dyDescent="0.25">
      <c r="A17" t="s">
        <v>29</v>
      </c>
      <c r="H17">
        <f>H5*0.1</f>
        <v>500</v>
      </c>
      <c r="I17">
        <f t="shared" ref="I17:J17" si="8">I5*0.1</f>
        <v>1000</v>
      </c>
      <c r="J17">
        <f t="shared" si="8"/>
        <v>2000</v>
      </c>
    </row>
    <row r="19" spans="1:12" x14ac:dyDescent="0.25">
      <c r="A19" s="1" t="s">
        <v>24</v>
      </c>
      <c r="B19">
        <f t="shared" ref="B19:J19" si="9">SUM(B8:B17)</f>
        <v>0</v>
      </c>
      <c r="C19">
        <f t="shared" si="9"/>
        <v>0</v>
      </c>
      <c r="D19">
        <f t="shared" si="9"/>
        <v>0</v>
      </c>
      <c r="E19">
        <f t="shared" si="9"/>
        <v>0</v>
      </c>
      <c r="F19">
        <f t="shared" si="9"/>
        <v>0</v>
      </c>
      <c r="G19">
        <f t="shared" si="9"/>
        <v>0</v>
      </c>
      <c r="H19">
        <f t="shared" si="9"/>
        <v>5000.0000000000009</v>
      </c>
      <c r="I19">
        <f t="shared" si="9"/>
        <v>10000.000000000002</v>
      </c>
      <c r="J19">
        <f t="shared" si="9"/>
        <v>20000.000000000004</v>
      </c>
      <c r="K19">
        <f t="shared" ref="K19:L19" si="10">SUM(K8:K17)</f>
        <v>10000.000000000002</v>
      </c>
      <c r="L19">
        <f t="shared" si="10"/>
        <v>5000.0000000000009</v>
      </c>
    </row>
    <row r="21" spans="1:12" x14ac:dyDescent="0.25">
      <c r="A21" s="1" t="s">
        <v>27</v>
      </c>
      <c r="B21">
        <f t="shared" ref="B21:J21" si="11">B5-B19</f>
        <v>0</v>
      </c>
      <c r="C21">
        <f t="shared" si="11"/>
        <v>0</v>
      </c>
      <c r="D21">
        <f t="shared" si="11"/>
        <v>0</v>
      </c>
      <c r="E21">
        <f t="shared" si="11"/>
        <v>0</v>
      </c>
      <c r="F21">
        <f t="shared" si="11"/>
        <v>0</v>
      </c>
      <c r="G21">
        <f t="shared" si="11"/>
        <v>0</v>
      </c>
      <c r="H21">
        <f t="shared" si="11"/>
        <v>0</v>
      </c>
      <c r="I21">
        <f t="shared" si="11"/>
        <v>0</v>
      </c>
      <c r="J21">
        <f t="shared" si="11"/>
        <v>0</v>
      </c>
      <c r="K21">
        <f t="shared" ref="K21:L21" si="12">K5-K19</f>
        <v>0</v>
      </c>
      <c r="L21">
        <f t="shared" si="12"/>
        <v>0</v>
      </c>
    </row>
    <row r="23" spans="1:12" x14ac:dyDescent="0.25">
      <c r="A23" s="1" t="s">
        <v>28</v>
      </c>
      <c r="B23">
        <f>B21</f>
        <v>0</v>
      </c>
      <c r="C23">
        <f>B23+C21</f>
        <v>0</v>
      </c>
      <c r="D23">
        <f t="shared" ref="D23:J23" si="13">C23+D21</f>
        <v>0</v>
      </c>
      <c r="E23">
        <f t="shared" si="13"/>
        <v>0</v>
      </c>
      <c r="F23">
        <f t="shared" si="13"/>
        <v>0</v>
      </c>
      <c r="G23">
        <f t="shared" si="13"/>
        <v>0</v>
      </c>
      <c r="H23">
        <f t="shared" si="13"/>
        <v>0</v>
      </c>
      <c r="I23">
        <f t="shared" si="13"/>
        <v>0</v>
      </c>
      <c r="J23">
        <f t="shared" si="13"/>
        <v>0</v>
      </c>
      <c r="K23">
        <f t="shared" ref="K23" si="14">J23+K21</f>
        <v>0</v>
      </c>
      <c r="L23">
        <f t="shared" ref="L23" si="15">K23+L21</f>
        <v>0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selection activeCell="I25" sqref="I25"/>
    </sheetView>
  </sheetViews>
  <sheetFormatPr defaultRowHeight="15" x14ac:dyDescent="0.25"/>
  <cols>
    <col min="1" max="1" width="14" customWidth="1"/>
  </cols>
  <sheetData>
    <row r="1" spans="1:6" x14ac:dyDescent="0.25">
      <c r="B1" t="s">
        <v>3</v>
      </c>
      <c r="C1" t="s">
        <v>4</v>
      </c>
      <c r="D1" t="s">
        <v>5</v>
      </c>
      <c r="E1" t="s">
        <v>6</v>
      </c>
      <c r="F1" t="s">
        <v>7</v>
      </c>
    </row>
    <row r="2" spans="1:6" x14ac:dyDescent="0.25">
      <c r="A2" s="1" t="s">
        <v>44</v>
      </c>
    </row>
    <row r="3" spans="1:6" x14ac:dyDescent="0.25">
      <c r="A3" s="1" t="s">
        <v>45</v>
      </c>
    </row>
    <row r="4" spans="1:6" x14ac:dyDescent="0.25">
      <c r="A4" t="s">
        <v>46</v>
      </c>
      <c r="B4">
        <v>1000</v>
      </c>
      <c r="C4">
        <v>2000</v>
      </c>
      <c r="D4">
        <v>4000</v>
      </c>
      <c r="E4">
        <v>2000</v>
      </c>
      <c r="F4">
        <v>1000</v>
      </c>
    </row>
    <row r="5" spans="1:6" x14ac:dyDescent="0.25">
      <c r="A5" t="s">
        <v>47</v>
      </c>
      <c r="B5">
        <v>5</v>
      </c>
      <c r="C5">
        <v>5</v>
      </c>
      <c r="D5">
        <v>5</v>
      </c>
      <c r="E5">
        <v>5</v>
      </c>
      <c r="F5">
        <v>5</v>
      </c>
    </row>
    <row r="6" spans="1:6" x14ac:dyDescent="0.25">
      <c r="A6" s="8" t="s">
        <v>48</v>
      </c>
      <c r="B6" s="4">
        <f>B5*B4</f>
        <v>5000</v>
      </c>
      <c r="C6" s="4">
        <f t="shared" ref="C6:F6" si="0">C5*C4</f>
        <v>10000</v>
      </c>
      <c r="D6" s="4">
        <f t="shared" si="0"/>
        <v>20000</v>
      </c>
      <c r="E6" s="4">
        <f t="shared" si="0"/>
        <v>10000</v>
      </c>
      <c r="F6" s="4">
        <f t="shared" si="0"/>
        <v>5000</v>
      </c>
    </row>
    <row r="8" spans="1:6" x14ac:dyDescent="0.25">
      <c r="A8" s="6" t="s">
        <v>49</v>
      </c>
      <c r="B8" s="7">
        <f>B6</f>
        <v>5000</v>
      </c>
      <c r="C8" s="7">
        <f t="shared" ref="C8:F8" si="1">C6</f>
        <v>10000</v>
      </c>
      <c r="D8" s="7">
        <f t="shared" si="1"/>
        <v>20000</v>
      </c>
      <c r="E8" s="7">
        <f t="shared" si="1"/>
        <v>10000</v>
      </c>
      <c r="F8" s="7">
        <f t="shared" si="1"/>
        <v>5000</v>
      </c>
    </row>
    <row r="10" spans="1:6" x14ac:dyDescent="0.25">
      <c r="A10" s="1" t="s">
        <v>50</v>
      </c>
    </row>
    <row r="11" spans="1:6" x14ac:dyDescent="0.25">
      <c r="A11" t="s">
        <v>51</v>
      </c>
      <c r="B11">
        <f>B8*0.1</f>
        <v>500</v>
      </c>
      <c r="C11">
        <f t="shared" ref="C11:D11" si="2">C8*0.1</f>
        <v>1000</v>
      </c>
      <c r="D11">
        <f t="shared" si="2"/>
        <v>2000</v>
      </c>
      <c r="E11">
        <v>0</v>
      </c>
      <c r="F11">
        <v>0</v>
      </c>
    </row>
    <row r="13" spans="1:6" x14ac:dyDescent="0.25">
      <c r="A13" s="6" t="s">
        <v>52</v>
      </c>
      <c r="B13" s="7">
        <f>B11</f>
        <v>500</v>
      </c>
      <c r="C13" s="7">
        <f t="shared" ref="C13:F13" si="3">C11</f>
        <v>1000</v>
      </c>
      <c r="D13" s="7">
        <f t="shared" si="3"/>
        <v>2000</v>
      </c>
      <c r="E13" s="7">
        <f t="shared" si="3"/>
        <v>0</v>
      </c>
      <c r="F13" s="7">
        <f t="shared" si="3"/>
        <v>0</v>
      </c>
    </row>
    <row r="15" spans="1:6" x14ac:dyDescent="0.25">
      <c r="A15" s="1" t="s">
        <v>53</v>
      </c>
      <c r="B15">
        <f>B8-B13</f>
        <v>4500</v>
      </c>
      <c r="C15">
        <f t="shared" ref="C15:F15" si="4">C8-C13</f>
        <v>9000</v>
      </c>
      <c r="D15">
        <f t="shared" si="4"/>
        <v>18000</v>
      </c>
      <c r="E15">
        <f t="shared" si="4"/>
        <v>10000</v>
      </c>
      <c r="F15">
        <f t="shared" si="4"/>
        <v>5000</v>
      </c>
    </row>
    <row r="17" spans="1:6" x14ac:dyDescent="0.25">
      <c r="A17" s="6" t="s">
        <v>54</v>
      </c>
      <c r="B17" s="7">
        <f>B15</f>
        <v>4500</v>
      </c>
      <c r="C17" s="7">
        <f>C15+B17</f>
        <v>13500</v>
      </c>
      <c r="D17" s="7">
        <f t="shared" ref="D17:F17" si="5">D15+C17</f>
        <v>31500</v>
      </c>
      <c r="E17" s="7">
        <f t="shared" si="5"/>
        <v>41500</v>
      </c>
      <c r="F17" s="7">
        <f t="shared" si="5"/>
        <v>46500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3"/>
  <sheetViews>
    <sheetView tabSelected="1" workbookViewId="0">
      <selection activeCell="A4" sqref="A4"/>
    </sheetView>
  </sheetViews>
  <sheetFormatPr defaultRowHeight="15" x14ac:dyDescent="0.25"/>
  <cols>
    <col min="1" max="1" width="13.5703125" customWidth="1"/>
    <col min="2" max="25" width="2.7109375" customWidth="1"/>
    <col min="26" max="26" width="2.28515625" customWidth="1"/>
    <col min="27" max="27" width="2.42578125" customWidth="1"/>
    <col min="28" max="28" width="2.28515625" customWidth="1"/>
    <col min="29" max="29" width="2.85546875" customWidth="1"/>
  </cols>
  <sheetData>
    <row r="1" spans="1:30" x14ac:dyDescent="0.25">
      <c r="A1" s="9"/>
      <c r="B1" s="14" t="s">
        <v>43</v>
      </c>
      <c r="C1" s="15"/>
      <c r="D1" s="15"/>
      <c r="E1" s="15"/>
      <c r="F1" s="14" t="s">
        <v>55</v>
      </c>
      <c r="G1" s="15"/>
      <c r="H1" s="15"/>
      <c r="I1" s="15"/>
      <c r="J1" s="14" t="s">
        <v>56</v>
      </c>
      <c r="K1" s="15"/>
      <c r="L1" s="15"/>
      <c r="M1" s="15"/>
      <c r="N1" s="14" t="s">
        <v>57</v>
      </c>
      <c r="O1" s="15"/>
      <c r="P1" s="15"/>
      <c r="Q1" s="15"/>
      <c r="R1" s="14" t="s">
        <v>58</v>
      </c>
      <c r="S1" s="15"/>
      <c r="T1" s="15"/>
      <c r="U1" s="15"/>
      <c r="V1" s="14" t="s">
        <v>59</v>
      </c>
      <c r="W1" s="15"/>
      <c r="X1" s="15"/>
      <c r="Y1" s="15"/>
      <c r="Z1" s="14" t="s">
        <v>59</v>
      </c>
      <c r="AA1" s="15"/>
      <c r="AB1" s="15"/>
      <c r="AC1" s="16"/>
      <c r="AD1" s="13"/>
    </row>
    <row r="2" spans="1:30" x14ac:dyDescent="0.25">
      <c r="A2" s="9"/>
      <c r="B2" s="9">
        <v>1</v>
      </c>
      <c r="C2" s="9">
        <v>2</v>
      </c>
      <c r="D2" s="9">
        <v>3</v>
      </c>
      <c r="E2" s="9">
        <v>4</v>
      </c>
      <c r="F2" s="9">
        <v>1</v>
      </c>
      <c r="G2" s="9">
        <v>2</v>
      </c>
      <c r="H2" s="9">
        <v>3</v>
      </c>
      <c r="I2" s="9">
        <v>4</v>
      </c>
      <c r="J2" s="9">
        <v>1</v>
      </c>
      <c r="K2" s="9">
        <v>2</v>
      </c>
      <c r="L2" s="9">
        <v>3</v>
      </c>
      <c r="M2" s="9">
        <v>4</v>
      </c>
      <c r="N2" s="9">
        <v>1</v>
      </c>
      <c r="O2" s="9">
        <v>2</v>
      </c>
      <c r="P2" s="9">
        <v>3</v>
      </c>
      <c r="Q2" s="9">
        <v>4</v>
      </c>
      <c r="R2" s="9">
        <v>1</v>
      </c>
      <c r="S2" s="9">
        <v>2</v>
      </c>
      <c r="T2" s="9">
        <v>3</v>
      </c>
      <c r="U2" s="9">
        <v>4</v>
      </c>
      <c r="V2" s="9">
        <v>1</v>
      </c>
      <c r="W2" s="9">
        <v>2</v>
      </c>
      <c r="X2" s="9">
        <v>3</v>
      </c>
      <c r="Y2" s="9">
        <v>4</v>
      </c>
      <c r="Z2" s="9">
        <v>1</v>
      </c>
      <c r="AA2" s="9">
        <v>2</v>
      </c>
      <c r="AB2" s="9">
        <v>3</v>
      </c>
      <c r="AC2" s="9">
        <v>4</v>
      </c>
    </row>
    <row r="3" spans="1:30" x14ac:dyDescent="0.25">
      <c r="A3" s="10" t="s">
        <v>60</v>
      </c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</row>
    <row r="4" spans="1:30" x14ac:dyDescent="0.25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</row>
    <row r="5" spans="1:30" x14ac:dyDescent="0.25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</row>
    <row r="6" spans="1:30" x14ac:dyDescent="0.25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</row>
    <row r="7" spans="1:30" x14ac:dyDescent="0.25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</row>
    <row r="8" spans="1:30" x14ac:dyDescent="0.25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</row>
    <row r="9" spans="1:30" x14ac:dyDescent="0.25">
      <c r="A9" s="10" t="s">
        <v>61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</row>
    <row r="10" spans="1:30" x14ac:dyDescent="0.25">
      <c r="A10" s="9" t="s">
        <v>62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11"/>
      <c r="W10" s="11"/>
      <c r="X10" s="9"/>
      <c r="Y10" s="9"/>
      <c r="Z10" s="9"/>
      <c r="AA10" s="9"/>
      <c r="AB10" s="9"/>
      <c r="AC10" s="9"/>
    </row>
    <row r="11" spans="1:30" x14ac:dyDescent="0.25">
      <c r="A11" s="9" t="s">
        <v>63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11"/>
      <c r="Y11" s="11"/>
      <c r="Z11" s="9"/>
      <c r="AA11" s="9"/>
      <c r="AB11" s="9"/>
      <c r="AC11" s="9"/>
    </row>
    <row r="12" spans="1:30" x14ac:dyDescent="0.25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</row>
    <row r="13" spans="1:30" x14ac:dyDescent="0.25">
      <c r="A13" s="10" t="s">
        <v>64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12"/>
      <c r="AA13" s="9"/>
      <c r="AB13" s="9"/>
      <c r="AC13" s="9"/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Publisher Max Sales</vt:lpstr>
      <vt:lpstr>Publisher Min Sales</vt:lpstr>
      <vt:lpstr>Self-Publishing</vt:lpstr>
      <vt:lpstr>Self-Publishing Sales</vt:lpstr>
      <vt:lpstr>Publishing Sales</vt:lpstr>
      <vt:lpstr>Self-Publishing Dev</vt:lpstr>
      <vt:lpstr>Publishing Dev</vt:lpstr>
    </vt:vector>
  </TitlesOfParts>
  <Company>FXPlus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RYAN CLARKE</dc:creator>
  <cp:lastModifiedBy>RYAN CLARKE</cp:lastModifiedBy>
  <dcterms:created xsi:type="dcterms:W3CDTF">2019-03-04T12:20:55Z</dcterms:created>
  <dcterms:modified xsi:type="dcterms:W3CDTF">2019-03-20T16:31:19Z</dcterms:modified>
</cp:coreProperties>
</file>